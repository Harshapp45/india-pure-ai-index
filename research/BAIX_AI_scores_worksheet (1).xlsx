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scores" sheetId="1" state="visible" r:id="rId3"/>
    <sheet name="How to fill" sheetId="2" state="visible" r:id="rId4"/>
  </sheets>
  <definedNames>
    <definedName function="false" hidden="true" localSheetId="0" name="_xlnm._FilterDatabase" vbProcedure="false">'AI scores'!$A$1:$N$126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<sst xmlns="http://schemas.openxmlformats.org/spreadsheetml/2006/main" count="560" uniqueCount="116">
  <si>
    <t xml:space="preserve">Review</t>
  </si>
  <si>
    <t xml:space="preserve">Cut-off date</t>
  </si>
  <si>
    <t xml:space="preserve">Company</t>
  </si>
  <si>
    <t xml:space="preserve">NSE symbol</t>
  </si>
  <si>
    <t xml:space="preserve">Data period used</t>
  </si>
  <si>
    <t xml:space="preserve">AI share (%)</t>
  </si>
  <si>
    <t xml:space="preserve">Evidence level</t>
  </si>
  <si>
    <t xml:space="preserve">Bucket score</t>
  </si>
  <si>
    <t xml:space="preserve">Effective score</t>
  </si>
  <si>
    <t xml:space="preserve">Source</t>
  </si>
  <si>
    <t xml:space="preserve">Source URL</t>
  </si>
  <si>
    <t xml:space="preserve">Source date</t>
  </si>
  <si>
    <t xml:space="preserve">Notes</t>
  </si>
  <si>
    <t xml:space="preserve">Jun-2024</t>
  </si>
  <si>
    <t xml:space="preserve">Netweb Technologies</t>
  </si>
  <si>
    <t xml:space="preserve">NETWEB</t>
  </si>
  <si>
    <t xml:space="preserve">FY24</t>
  </si>
  <si>
    <t xml:space="preserve">Reported</t>
  </si>
  <si>
    <t xml:space="preserve">Netweb Q4 FY24 results: AI Systems ~11% of FY24 operating income (company statement via Business Standard)</t>
  </si>
  <si>
    <t xml:space="preserve">https://www.business-standard.com/companies/results/netweb-technologies-q4-results-net-profit-up-around-3-fold-at-rs-29-6-cr-124050100876_1.html</t>
  </si>
  <si>
    <t xml:space="preserve">FY23 was 7%. Source: company statement reported by Business Standard.</t>
  </si>
  <si>
    <t xml:space="preserve">Dec-2024</t>
  </si>
  <si>
    <t xml:space="preserve">H1 FY25</t>
  </si>
  <si>
    <t xml:space="preserve">Netweb Q2 FY25 earnings presentation &amp; press release (H1 FY25)</t>
  </si>
  <si>
    <t xml:space="preserve">https://www.netwebindia.com/investors/board-meeting/Earning_Presentation.pdf</t>
  </si>
  <si>
    <t xml:space="preserve">14.7% per later company presentation; press release (19 Oct 2024) says ~15%. Segment = AI systems + enterprise workstations.</t>
  </si>
  <si>
    <t xml:space="preserve">Jun-2025</t>
  </si>
  <si>
    <t xml:space="preserve">FY25</t>
  </si>
  <si>
    <t xml:space="preserve">Netweb Q4 FY25 press release – AI Systems 14.8% of FY25 operating revenue</t>
  </si>
  <si>
    <t xml:space="preserve">https://www.netwebindia.com/investors/board-meeting/2024-25/Q4/Press_Release_Q4.pdf</t>
  </si>
  <si>
    <t xml:space="preserve">FY25 operating income ₹11,490.2 Mn. AI Systems income +112% YoY.</t>
  </si>
  <si>
    <t xml:space="preserve">Dec-2025</t>
  </si>
  <si>
    <t xml:space="preserve">H1 FY26</t>
  </si>
  <si>
    <t xml:space="preserve">Netweb Q2 FY26 earnings presentation – AI Systems 25.4% of H1 FY26 revenue</t>
  </si>
  <si>
    <t xml:space="preserve">https://www.netwebindia.com/investors/board-meeting/2025-26/Q2/Earning_Presentation.pdf</t>
  </si>
  <si>
    <t xml:space="preserve">H1 FY26 operating income ₹6,049.4 Mn. Segment now labelled 'AI Systems' (workstations no longer mentioned) – definition change.</t>
  </si>
  <si>
    <t xml:space="preserve">Jun-2026</t>
  </si>
  <si>
    <t xml:space="preserve">FY26</t>
  </si>
  <si>
    <t xml:space="preserve">Netweb Q4 FY26 earnings presentation – AI Systems 43.4% of FY26 revenue</t>
  </si>
  <si>
    <t xml:space="preserve">https://www.netwebindia.com/investors/board-meeting/2025-26/Q4/Earning_presenation_march2026.pdf</t>
  </si>
  <si>
    <t xml:space="preserve">AI Systems ₹9,478 Mn of ₹21,835.6 Mn operating revenue.</t>
  </si>
  <si>
    <t xml:space="preserve">E2E Networks</t>
  </si>
  <si>
    <t xml:space="preserve">E2E</t>
  </si>
  <si>
    <t xml:space="preserve">LatentView Analytics</t>
  </si>
  <si>
    <t xml:space="preserve">LATENTVIEW</t>
  </si>
  <si>
    <t xml:space="preserve">Affle 3i</t>
  </si>
  <si>
    <t xml:space="preserve">AFFLE</t>
  </si>
  <si>
    <t xml:space="preserve">Persistent Systems</t>
  </si>
  <si>
    <t xml:space="preserve">PERSISTENT</t>
  </si>
  <si>
    <t xml:space="preserve">Tata Elxsi</t>
  </si>
  <si>
    <t xml:space="preserve">TATAELXSI</t>
  </si>
  <si>
    <t xml:space="preserve">Happiest Minds</t>
  </si>
  <si>
    <t xml:space="preserve">HAPPSTMNDS</t>
  </si>
  <si>
    <t xml:space="preserve">Intellect Design Arena</t>
  </si>
  <si>
    <t xml:space="preserve">INTELLECT</t>
  </si>
  <si>
    <t xml:space="preserve">Anant Raj</t>
  </si>
  <si>
    <t xml:space="preserve">ANANTRAJ</t>
  </si>
  <si>
    <t xml:space="preserve">KPIT Technologies</t>
  </si>
  <si>
    <t xml:space="preserve">KPITTECH</t>
  </si>
  <si>
    <t xml:space="preserve">MosChip Technologies</t>
  </si>
  <si>
    <t xml:space="preserve">MOSCHIP</t>
  </si>
  <si>
    <t xml:space="preserve">Tata Consultancy Services</t>
  </si>
  <si>
    <t xml:space="preserve">TCS</t>
  </si>
  <si>
    <t xml:space="preserve">Infosys</t>
  </si>
  <si>
    <t xml:space="preserve">INFY</t>
  </si>
  <si>
    <t xml:space="preserve">L&amp;T Technology Services</t>
  </si>
  <si>
    <t xml:space="preserve">LTTS</t>
  </si>
  <si>
    <t xml:space="preserve">LTIMindtree</t>
  </si>
  <si>
    <t xml:space="preserve">LTIM</t>
  </si>
  <si>
    <t xml:space="preserve">Coforge</t>
  </si>
  <si>
    <t xml:space="preserve">COFORGE</t>
  </si>
  <si>
    <t xml:space="preserve">Wipro</t>
  </si>
  <si>
    <t xml:space="preserve">WIPRO</t>
  </si>
  <si>
    <t xml:space="preserve">Tech Mahindra</t>
  </si>
  <si>
    <t xml:space="preserve">TECHM</t>
  </si>
  <si>
    <t xml:space="preserve">HCLTech</t>
  </si>
  <si>
    <t xml:space="preserve">HCLTECH</t>
  </si>
  <si>
    <t xml:space="preserve">Cyient</t>
  </si>
  <si>
    <t xml:space="preserve">CYIENT</t>
  </si>
  <si>
    <t xml:space="preserve">Kaynes Technology</t>
  </si>
  <si>
    <t xml:space="preserve">KAYNES</t>
  </si>
  <si>
    <t xml:space="preserve">CG Power</t>
  </si>
  <si>
    <t xml:space="preserve">CGPOWER</t>
  </si>
  <si>
    <t xml:space="preserve">Bharti Airtel</t>
  </si>
  <si>
    <t xml:space="preserve">BHARTIARTL</t>
  </si>
  <si>
    <t xml:space="preserve">Reliance Industries</t>
  </si>
  <si>
    <t xml:space="preserve">RELIANCE</t>
  </si>
  <si>
    <t xml:space="preserve">Adani Enterprises</t>
  </si>
  <si>
    <t xml:space="preserve">ADANIENT</t>
  </si>
  <si>
    <t xml:space="preserve">BAIX — AI Score Worksheet (Step 3)</t>
  </si>
  <si>
    <t xml:space="preserve">What this is</t>
  </si>
  <si>
    <t xml:space="preserve">One row per company per review. You record what share of the company's revenue came from AI, using ONLY information public before the cut-off date.</t>
  </si>
  <si>
    <t xml:space="preserve">Fill in the YELLOW columns only</t>
  </si>
  <si>
    <t xml:space="preserve">E  Data period used — e.g. FY24 (June reviews) or H1 FY25 (December reviews)</t>
  </si>
  <si>
    <t xml:space="preserve">F  AI share (%) — type 11 for 11%. Leave blank if you cannot find any evidence.</t>
  </si>
  <si>
    <t xml:space="preserve">G  Evidence level — choose from the dropdown: Reported / Derived / Estimated</t>
  </si>
  <si>
    <t xml:space="preserve">K  Source — short title, e.g. 'Netweb Q4 FY24 results press release'</t>
  </si>
  <si>
    <t xml:space="preserve">L  Source URL — paste the link</t>
  </si>
  <si>
    <t xml:space="preserve">M  Source date — the date the source was published (must be BEFORE the cut-off date)</t>
  </si>
  <si>
    <t xml:space="preserve">N  Notes — anything unusual</t>
  </si>
  <si>
    <t xml:space="preserve">Calculated automatically (do not type here)</t>
  </si>
  <si>
    <t xml:space="preserve">H  Bucket score — from AI share: ≥50% → 1.0 · 20–50% → 0.5 · 5–20% → 0.25 · below 5% → 0</t>
  </si>
  <si>
    <t xml:space="preserve">I  Effective score — same as H, but 'Estimated' rows drop one bucket (the conservative rule)</t>
  </si>
  <si>
    <t xml:space="preserve">Evidence levels</t>
  </si>
  <si>
    <t xml:space="preserve">Reported — the company itself publishes an AI share or AI segment revenue</t>
  </si>
  <si>
    <t xml:space="preserve">Derived — the company publishes AI revenue in rupees/dollars; you divide it by total revenue</t>
  </si>
  <si>
    <t xml:space="preserve">Estimated — no disclosure; your best estimate from annual report / concall / presentation</t>
  </si>
  <si>
    <t xml:space="preserve">Where to look (in this order)</t>
  </si>
  <si>
    <t xml:space="preserve">1. Company website → Investors → Quarterly results / Investor presentation for that period</t>
  </si>
  <si>
    <t xml:space="preserve">2. NSE website → company page → Corporate filings → Financial results / Investor presentations</t>
  </si>
  <si>
    <t xml:space="preserve">3. Earnings call transcripts (Trendlyne, Screener 'Documents' tab)</t>
  </si>
  <si>
    <t xml:space="preserve">4. Reliable news reports quoting the company (Business Standard, Economic Times, Moneycontrol)</t>
  </si>
  <si>
    <t xml:space="preserve">Golden rule</t>
  </si>
  <si>
    <t xml:space="preserve">Source date must be on or before the cut-off date. If FY26 results came out on 4 May 2026, they can be used for the June 2026 review, not for December 2025.</t>
  </si>
  <si>
    <t xml:space="preserve">Worked example</t>
  </si>
  <si>
    <t xml:space="preserve">Netweb, June 2024 review is already filled in (green row) to show the format.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</si>
</sst>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9" min="8" style="1" width="10"/>
    <col collapsed="false" customWidth="true" hidden="false" outlineLevel="0" max="10" min="10" style="1" width="2"/>
    <col collapsed="false" customWidth="true" hidden="false" outlineLevel="0" max="12" min="11" style="1" width="40"/>
    <col collapsed="false" customWidth="true" hidden="false" outlineLevel="0" max="13" min="13" style="1" width="12"/>
    <col collapsed="false" customWidth="true" hidden="false" outlineLevel="0" max="14" min="14" style="1" width="4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 t="s">
        <v>9</v>
      </c>
      <c r="L1" s="2" t="s">
        <v>10</v>
      </c>
      <c r="M1" s="2" t="s">
        <v>11</v>
      </c>
      <c r="N1" s="2" t="s">
        <v>12</v>
      </c>
    </row>
    <row r="2" customFormat="false" ht="51.75" hidden="false" customHeight="true" outlineLevel="0" collapsed="false">
      <c r="A2" s="3" t="s">
        <v>13</v>
      </c>
      <c r="B2" s="4" t="n">
        <v>45443</v>
      </c>
      <c r="C2" s="3" t="s">
        <v>14</v>
      </c>
      <c r="D2" s="3" t="s">
        <v>15</v>
      </c>
      <c r="E2" s="3" t="s">
        <v>16</v>
      </c>
      <c r="F2" s="3" t="n">
        <v>11</v>
      </c>
      <c r="G2" s="3" t="s">
        <v>17</v>
      </c>
      <c r="H2" s="5" t="n">
        <f aca="false">IF(F2="","",IF(F2&gt;=50,1,IF(F2&gt;=20,0.5,IF(F2&gt;=5,0.25,0))))</f>
        <v>0.25</v>
      </c>
      <c r="I2" s="5" t="n">
        <f aca="false">IF(H2="","",IF(G2="Estimated",IF(H2=1,0.5,IF(H2=0.5,0.25,0)),H2))</f>
        <v>0.25</v>
      </c>
      <c r="J2" s="3"/>
      <c r="K2" s="6" t="s">
        <v>18</v>
      </c>
      <c r="L2" s="3" t="s">
        <v>19</v>
      </c>
      <c r="M2" s="4" t="n">
        <v>45413</v>
      </c>
      <c r="N2" s="6" t="s">
        <v>20</v>
      </c>
    </row>
    <row r="3" customFormat="false" ht="15" hidden="false" customHeight="true" outlineLevel="0" collapsed="false">
      <c r="A3" s="3" t="s">
        <v>21</v>
      </c>
      <c r="B3" s="4" t="n">
        <v>45625</v>
      </c>
      <c r="C3" s="3" t="s">
        <v>14</v>
      </c>
      <c r="D3" s="3" t="s">
        <v>15</v>
      </c>
      <c r="E3" s="3" t="s">
        <v>22</v>
      </c>
      <c r="F3" s="3" t="n">
        <v>14.7</v>
      </c>
      <c r="G3" s="3" t="s">
        <v>17</v>
      </c>
      <c r="H3" s="5" t="n">
        <f aca="false">IF(F3="","",IF(F3&gt;=50,1,IF(F3&gt;=20,0.5,IF(F3&gt;=5,0.25,0))))</f>
        <v>0.25</v>
      </c>
      <c r="I3" s="5" t="n">
        <f aca="false">IF(H3="","",IF(G3="Estimated",IF(H3=1,0.5,IF(H3=0.5,0.25,0)),H3))</f>
        <v>0.25</v>
      </c>
      <c r="J3" s="3"/>
      <c r="K3" s="6" t="s">
        <v>23</v>
      </c>
      <c r="L3" s="3" t="s">
        <v>24</v>
      </c>
      <c r="M3" s="4" t="n">
        <v>45584</v>
      </c>
      <c r="N3" s="6" t="s">
        <v>25</v>
      </c>
    </row>
    <row r="4" customFormat="false" ht="15" hidden="false" customHeight="true" outlineLevel="0" collapsed="false">
      <c r="A4" s="3" t="s">
        <v>26</v>
      </c>
      <c r="B4" s="4" t="n">
        <v>45807</v>
      </c>
      <c r="C4" s="3" t="s">
        <v>14</v>
      </c>
      <c r="D4" s="3" t="s">
        <v>15</v>
      </c>
      <c r="E4" s="3" t="s">
        <v>27</v>
      </c>
      <c r="F4" s="3" t="n">
        <v>14.8</v>
      </c>
      <c r="G4" s="3" t="s">
        <v>17</v>
      </c>
      <c r="H4" s="5" t="n">
        <f aca="false">IF(F4="","",IF(F4&gt;=50,1,IF(F4&gt;=20,0.5,IF(F4&gt;=5,0.25,0))))</f>
        <v>0.25</v>
      </c>
      <c r="I4" s="5" t="n">
        <f aca="false">IF(H4="","",IF(G4="Estimated",IF(H4=1,0.5,IF(H4=0.5,0.25,0)),H4))</f>
        <v>0.25</v>
      </c>
      <c r="J4" s="3"/>
      <c r="K4" s="6" t="s">
        <v>28</v>
      </c>
      <c r="L4" s="3" t="s">
        <v>29</v>
      </c>
      <c r="M4" s="4" t="n">
        <v>45780</v>
      </c>
      <c r="N4" s="6" t="s">
        <v>30</v>
      </c>
    </row>
    <row r="5" customFormat="false" ht="15" hidden="false" customHeight="true" outlineLevel="0" collapsed="false">
      <c r="A5" s="3" t="s">
        <v>31</v>
      </c>
      <c r="B5" s="4" t="n">
        <v>45989</v>
      </c>
      <c r="C5" s="3" t="s">
        <v>14</v>
      </c>
      <c r="D5" s="3" t="s">
        <v>15</v>
      </c>
      <c r="E5" s="3" t="s">
        <v>32</v>
      </c>
      <c r="F5" s="3" t="n">
        <v>25.4</v>
      </c>
      <c r="G5" s="3" t="s">
        <v>17</v>
      </c>
      <c r="H5" s="5" t="n">
        <f aca="false">IF(F5="","",IF(F5&gt;=50,1,IF(F5&gt;=20,0.5,IF(F5&gt;=5,0.25,0))))</f>
        <v>0.5</v>
      </c>
      <c r="I5" s="5" t="n">
        <f aca="false">IF(H5="","",IF(G5="Estimated",IF(H5=1,0.5,IF(H5=0.5,0.25,0)),H5))</f>
        <v>0.5</v>
      </c>
      <c r="J5" s="3"/>
      <c r="K5" s="6" t="s">
        <v>33</v>
      </c>
      <c r="L5" s="3" t="s">
        <v>34</v>
      </c>
      <c r="M5" s="4" t="n">
        <v>45962</v>
      </c>
      <c r="N5" s="6" t="s">
        <v>35</v>
      </c>
    </row>
    <row r="6" customFormat="false" ht="15" hidden="false" customHeight="true" outlineLevel="0" collapsed="false">
      <c r="A6" s="3" t="s">
        <v>36</v>
      </c>
      <c r="B6" s="4" t="n">
        <v>46171</v>
      </c>
      <c r="C6" s="3" t="s">
        <v>14</v>
      </c>
      <c r="D6" s="3" t="s">
        <v>15</v>
      </c>
      <c r="E6" s="3" t="s">
        <v>37</v>
      </c>
      <c r="F6" s="3" t="n">
        <v>43.4</v>
      </c>
      <c r="G6" s="3" t="s">
        <v>17</v>
      </c>
      <c r="H6" s="5" t="n">
        <f aca="false">IF(F6="","",IF(F6&gt;=50,1,IF(F6&gt;=20,0.5,IF(F6&gt;=5,0.25,0))))</f>
        <v>0.5</v>
      </c>
      <c r="I6" s="5" t="n">
        <f aca="false">IF(H6="","",IF(G6="Estimated",IF(H6=1,0.5,IF(H6=0.5,0.25,0)),H6))</f>
        <v>0.5</v>
      </c>
      <c r="J6" s="3"/>
      <c r="K6" s="6" t="s">
        <v>38</v>
      </c>
      <c r="L6" s="3" t="s">
        <v>39</v>
      </c>
      <c r="M6" s="4" t="n">
        <v>46144</v>
      </c>
      <c r="N6" s="6" t="s">
        <v>40</v>
      </c>
    </row>
    <row r="7" customFormat="false" ht="15" hidden="false" customHeight="true" outlineLevel="0" collapsed="false">
      <c r="A7" s="7" t="s">
        <v>13</v>
      </c>
      <c r="B7" s="8" t="n">
        <v>45443</v>
      </c>
      <c r="C7" s="7" t="s">
        <v>41</v>
      </c>
      <c r="D7" s="7" t="s">
        <v>42</v>
      </c>
      <c r="E7" s="9" t="s">
        <v>16</v>
      </c>
      <c r="F7" s="9"/>
      <c r="G7" s="9"/>
      <c r="H7" s="10" t="str">
        <f aca="false">IF(F7="","",IF(F7&gt;=50,1,IF(F7&gt;=20,0.5,IF(F7&gt;=5,0.25,0))))</f>
        <v/>
      </c>
      <c r="I7" s="10" t="str">
        <f aca="false">IF(H7="","",IF(G7="Estimated",IF(H7=1,0.5,IF(H7=0.5,0.25,0)),H7))</f>
        <v/>
      </c>
      <c r="J7" s="7"/>
      <c r="K7" s="11"/>
      <c r="L7" s="9"/>
      <c r="M7" s="12"/>
      <c r="N7" s="11"/>
    </row>
    <row r="8" customFormat="false" ht="15" hidden="false" customHeight="true" outlineLevel="0" collapsed="false">
      <c r="A8" s="7" t="s">
        <v>21</v>
      </c>
      <c r="B8" s="8" t="n">
        <v>45625</v>
      </c>
      <c r="C8" s="7" t="s">
        <v>41</v>
      </c>
      <c r="D8" s="7" t="s">
        <v>42</v>
      </c>
      <c r="E8" s="9" t="s">
        <v>22</v>
      </c>
      <c r="F8" s="9"/>
      <c r="G8" s="9"/>
      <c r="H8" s="10" t="str">
        <f aca="false">IF(F8="","",IF(F8&gt;=50,1,IF(F8&gt;=20,0.5,IF(F8&gt;=5,0.25,0))))</f>
        <v/>
      </c>
      <c r="I8" s="10" t="str">
        <f aca="false">IF(H8="","",IF(G8="Estimated",IF(H8=1,0.5,IF(H8=0.5,0.25,0)),H8))</f>
        <v/>
      </c>
      <c r="J8" s="7"/>
      <c r="K8" s="11"/>
      <c r="L8" s="9"/>
      <c r="M8" s="12"/>
      <c r="N8" s="11"/>
    </row>
    <row r="9" customFormat="false" ht="15" hidden="false" customHeight="true" outlineLevel="0" collapsed="false">
      <c r="A9" s="7" t="s">
        <v>26</v>
      </c>
      <c r="B9" s="8" t="n">
        <v>45807</v>
      </c>
      <c r="C9" s="7" t="s">
        <v>41</v>
      </c>
      <c r="D9" s="7" t="s">
        <v>42</v>
      </c>
      <c r="E9" s="9" t="s">
        <v>27</v>
      </c>
      <c r="F9" s="9"/>
      <c r="G9" s="9"/>
      <c r="H9" s="10" t="str">
        <f aca="false">IF(F9="","",IF(F9&gt;=50,1,IF(F9&gt;=20,0.5,IF(F9&gt;=5,0.25,0))))</f>
        <v/>
      </c>
      <c r="I9" s="10" t="str">
        <f aca="false">IF(H9="","",IF(G9="Estimated",IF(H9=1,0.5,IF(H9=0.5,0.25,0)),H9))</f>
        <v/>
      </c>
      <c r="J9" s="7"/>
      <c r="K9" s="11"/>
      <c r="L9" s="9"/>
      <c r="M9" s="12"/>
      <c r="N9" s="11"/>
    </row>
    <row r="10" customFormat="false" ht="15" hidden="false" customHeight="true" outlineLevel="0" collapsed="false">
      <c r="A10" s="7" t="s">
        <v>31</v>
      </c>
      <c r="B10" s="8" t="n">
        <v>45989</v>
      </c>
      <c r="C10" s="7" t="s">
        <v>41</v>
      </c>
      <c r="D10" s="7" t="s">
        <v>42</v>
      </c>
      <c r="E10" s="9" t="s">
        <v>32</v>
      </c>
      <c r="F10" s="9"/>
      <c r="G10" s="9"/>
      <c r="H10" s="10" t="str">
        <f aca="false">IF(F10="","",IF(F10&gt;=50,1,IF(F10&gt;=20,0.5,IF(F10&gt;=5,0.25,0))))</f>
        <v/>
      </c>
      <c r="I10" s="10" t="str">
        <f aca="false">IF(H10="","",IF(G10="Estimated",IF(H10=1,0.5,IF(H10=0.5,0.25,0)),H10))</f>
        <v/>
      </c>
      <c r="J10" s="7"/>
      <c r="K10" s="11"/>
      <c r="L10" s="9"/>
      <c r="M10" s="12"/>
      <c r="N10" s="11"/>
    </row>
    <row r="11" customFormat="false" ht="15" hidden="false" customHeight="true" outlineLevel="0" collapsed="false">
      <c r="A11" s="7" t="s">
        <v>36</v>
      </c>
      <c r="B11" s="8" t="n">
        <v>46171</v>
      </c>
      <c r="C11" s="7" t="s">
        <v>41</v>
      </c>
      <c r="D11" s="7" t="s">
        <v>42</v>
      </c>
      <c r="E11" s="9" t="s">
        <v>37</v>
      </c>
      <c r="F11" s="9"/>
      <c r="G11" s="9"/>
      <c r="H11" s="10" t="str">
        <f aca="false">IF(F11="","",IF(F11&gt;=50,1,IF(F11&gt;=20,0.5,IF(F11&gt;=5,0.25,0))))</f>
        <v/>
      </c>
      <c r="I11" s="10" t="str">
        <f aca="false">IF(H11="","",IF(G11="Estimated",IF(H11=1,0.5,IF(H11=0.5,0.25,0)),H11))</f>
        <v/>
      </c>
      <c r="J11" s="7"/>
      <c r="K11" s="11"/>
      <c r="L11" s="9"/>
      <c r="M11" s="12"/>
      <c r="N11" s="11"/>
    </row>
    <row r="12" customFormat="false" ht="15" hidden="false" customHeight="true" outlineLevel="0" collapsed="false">
      <c r="A12" s="7" t="s">
        <v>13</v>
      </c>
      <c r="B12" s="8" t="n">
        <v>45443</v>
      </c>
      <c r="C12" s="7" t="s">
        <v>43</v>
      </c>
      <c r="D12" s="7" t="s">
        <v>44</v>
      </c>
      <c r="E12" s="9" t="s">
        <v>16</v>
      </c>
      <c r="F12" s="9"/>
      <c r="G12" s="9"/>
      <c r="H12" s="10" t="str">
        <f aca="false">IF(F12="","",IF(F12&gt;=50,1,IF(F12&gt;=20,0.5,IF(F12&gt;=5,0.25,0))))</f>
        <v/>
      </c>
      <c r="I12" s="10" t="str">
        <f aca="false">IF(H12="","",IF(G12="Estimated",IF(H12=1,0.5,IF(H12=0.5,0.25,0)),H12))</f>
        <v/>
      </c>
      <c r="J12" s="7"/>
      <c r="K12" s="11"/>
      <c r="L12" s="9"/>
      <c r="M12" s="12"/>
      <c r="N12" s="11"/>
    </row>
    <row r="13" customFormat="false" ht="15" hidden="false" customHeight="true" outlineLevel="0" collapsed="false">
      <c r="A13" s="7" t="s">
        <v>21</v>
      </c>
      <c r="B13" s="8" t="n">
        <v>45625</v>
      </c>
      <c r="C13" s="7" t="s">
        <v>43</v>
      </c>
      <c r="D13" s="7" t="s">
        <v>44</v>
      </c>
      <c r="E13" s="9" t="s">
        <v>22</v>
      </c>
      <c r="F13" s="9"/>
      <c r="G13" s="9"/>
      <c r="H13" s="10" t="str">
        <f aca="false">IF(F13="","",IF(F13&gt;=50,1,IF(F13&gt;=20,0.5,IF(F13&gt;=5,0.25,0))))</f>
        <v/>
      </c>
      <c r="I13" s="10" t="str">
        <f aca="false">IF(H13="","",IF(G13="Estimated",IF(H13=1,0.5,IF(H13=0.5,0.25,0)),H13))</f>
        <v/>
      </c>
      <c r="J13" s="7"/>
      <c r="K13" s="11"/>
      <c r="L13" s="9"/>
      <c r="M13" s="12"/>
      <c r="N13" s="11"/>
    </row>
    <row r="14" customFormat="false" ht="15" hidden="false" customHeight="true" outlineLevel="0" collapsed="false">
      <c r="A14" s="7" t="s">
        <v>26</v>
      </c>
      <c r="B14" s="8" t="n">
        <v>45807</v>
      </c>
      <c r="C14" s="7" t="s">
        <v>43</v>
      </c>
      <c r="D14" s="7" t="s">
        <v>44</v>
      </c>
      <c r="E14" s="9" t="s">
        <v>27</v>
      </c>
      <c r="F14" s="9"/>
      <c r="G14" s="9"/>
      <c r="H14" s="10" t="str">
        <f aca="false">IF(F14="","",IF(F14&gt;=50,1,IF(F14&gt;=20,0.5,IF(F14&gt;=5,0.25,0))))</f>
        <v/>
      </c>
      <c r="I14" s="10" t="str">
        <f aca="false">IF(H14="","",IF(G14="Estimated",IF(H14=1,0.5,IF(H14=0.5,0.25,0)),H14))</f>
        <v/>
      </c>
      <c r="J14" s="7"/>
      <c r="K14" s="11"/>
      <c r="L14" s="9"/>
      <c r="M14" s="12"/>
      <c r="N14" s="11"/>
    </row>
    <row r="15" customFormat="false" ht="15" hidden="false" customHeight="true" outlineLevel="0" collapsed="false">
      <c r="A15" s="7" t="s">
        <v>31</v>
      </c>
      <c r="B15" s="8" t="n">
        <v>45989</v>
      </c>
      <c r="C15" s="7" t="s">
        <v>43</v>
      </c>
      <c r="D15" s="7" t="s">
        <v>44</v>
      </c>
      <c r="E15" s="9" t="s">
        <v>32</v>
      </c>
      <c r="F15" s="9"/>
      <c r="G15" s="9"/>
      <c r="H15" s="10" t="str">
        <f aca="false">IF(F15="","",IF(F15&gt;=50,1,IF(F15&gt;=20,0.5,IF(F15&gt;=5,0.25,0))))</f>
        <v/>
      </c>
      <c r="I15" s="10" t="str">
        <f aca="false">IF(H15="","",IF(G15="Estimated",IF(H15=1,0.5,IF(H15=0.5,0.25,0)),H15))</f>
        <v/>
      </c>
      <c r="J15" s="7"/>
      <c r="K15" s="11"/>
      <c r="L15" s="9"/>
      <c r="M15" s="12"/>
      <c r="N15" s="11"/>
    </row>
    <row r="16" customFormat="false" ht="15" hidden="false" customHeight="true" outlineLevel="0" collapsed="false">
      <c r="A16" s="7" t="s">
        <v>36</v>
      </c>
      <c r="B16" s="8" t="n">
        <v>46171</v>
      </c>
      <c r="C16" s="7" t="s">
        <v>43</v>
      </c>
      <c r="D16" s="7" t="s">
        <v>44</v>
      </c>
      <c r="E16" s="9" t="s">
        <v>37</v>
      </c>
      <c r="F16" s="9"/>
      <c r="G16" s="9"/>
      <c r="H16" s="10" t="str">
        <f aca="false">IF(F16="","",IF(F16&gt;=50,1,IF(F16&gt;=20,0.5,IF(F16&gt;=5,0.25,0))))</f>
        <v/>
      </c>
      <c r="I16" s="10" t="str">
        <f aca="false">IF(H16="","",IF(G16="Estimated",IF(H16=1,0.5,IF(H16=0.5,0.25,0)),H16))</f>
        <v/>
      </c>
      <c r="J16" s="7"/>
      <c r="K16" s="11"/>
      <c r="L16" s="9"/>
      <c r="M16" s="12"/>
      <c r="N16" s="11"/>
    </row>
    <row r="17" customFormat="false" ht="15" hidden="false" customHeight="true" outlineLevel="0" collapsed="false">
      <c r="A17" s="7" t="s">
        <v>13</v>
      </c>
      <c r="B17" s="8" t="n">
        <v>45443</v>
      </c>
      <c r="C17" s="7" t="s">
        <v>45</v>
      </c>
      <c r="D17" s="7" t="s">
        <v>46</v>
      </c>
      <c r="E17" s="9" t="s">
        <v>16</v>
      </c>
      <c r="F17" s="9"/>
      <c r="G17" s="9"/>
      <c r="H17" s="10" t="str">
        <f aca="false">IF(F17="","",IF(F17&gt;=50,1,IF(F17&gt;=20,0.5,IF(F17&gt;=5,0.25,0))))</f>
        <v/>
      </c>
      <c r="I17" s="10" t="str">
        <f aca="false">IF(H17="","",IF(G17="Estimated",IF(H17=1,0.5,IF(H17=0.5,0.25,0)),H17))</f>
        <v/>
      </c>
      <c r="J17" s="7"/>
      <c r="K17" s="11"/>
      <c r="L17" s="9"/>
      <c r="M17" s="12"/>
      <c r="N17" s="11"/>
    </row>
    <row r="18" customFormat="false" ht="15" hidden="false" customHeight="true" outlineLevel="0" collapsed="false">
      <c r="A18" s="7" t="s">
        <v>21</v>
      </c>
      <c r="B18" s="8" t="n">
        <v>45625</v>
      </c>
      <c r="C18" s="7" t="s">
        <v>45</v>
      </c>
      <c r="D18" s="7" t="s">
        <v>46</v>
      </c>
      <c r="E18" s="9" t="s">
        <v>22</v>
      </c>
      <c r="F18" s="9"/>
      <c r="G18" s="9"/>
      <c r="H18" s="10" t="str">
        <f aca="false">IF(F18="","",IF(F18&gt;=50,1,IF(F18&gt;=20,0.5,IF(F18&gt;=5,0.25,0))))</f>
        <v/>
      </c>
      <c r="I18" s="10" t="str">
        <f aca="false">IF(H18="","",IF(G18="Estimated",IF(H18=1,0.5,IF(H18=0.5,0.25,0)),H18))</f>
        <v/>
      </c>
      <c r="J18" s="7"/>
      <c r="K18" s="11"/>
      <c r="L18" s="9"/>
      <c r="M18" s="12"/>
      <c r="N18" s="11"/>
    </row>
    <row r="19" customFormat="false" ht="15" hidden="false" customHeight="true" outlineLevel="0" collapsed="false">
      <c r="A19" s="7" t="s">
        <v>26</v>
      </c>
      <c r="B19" s="8" t="n">
        <v>45807</v>
      </c>
      <c r="C19" s="7" t="s">
        <v>45</v>
      </c>
      <c r="D19" s="7" t="s">
        <v>46</v>
      </c>
      <c r="E19" s="9" t="s">
        <v>27</v>
      </c>
      <c r="F19" s="9"/>
      <c r="G19" s="9"/>
      <c r="H19" s="10" t="str">
        <f aca="false">IF(F19="","",IF(F19&gt;=50,1,IF(F19&gt;=20,0.5,IF(F19&gt;=5,0.25,0))))</f>
        <v/>
      </c>
      <c r="I19" s="10" t="str">
        <f aca="false">IF(H19="","",IF(G19="Estimated",IF(H19=1,0.5,IF(H19=0.5,0.25,0)),H19))</f>
        <v/>
      </c>
      <c r="J19" s="7"/>
      <c r="K19" s="11"/>
      <c r="L19" s="9"/>
      <c r="M19" s="12"/>
      <c r="N19" s="11"/>
    </row>
    <row r="20" customFormat="false" ht="15" hidden="false" customHeight="true" outlineLevel="0" collapsed="false">
      <c r="A20" s="7" t="s">
        <v>31</v>
      </c>
      <c r="B20" s="8" t="n">
        <v>45989</v>
      </c>
      <c r="C20" s="7" t="s">
        <v>45</v>
      </c>
      <c r="D20" s="7" t="s">
        <v>46</v>
      </c>
      <c r="E20" s="9" t="s">
        <v>32</v>
      </c>
      <c r="F20" s="9"/>
      <c r="G20" s="9"/>
      <c r="H20" s="10" t="str">
        <f aca="false">IF(F20="","",IF(F20&gt;=50,1,IF(F20&gt;=20,0.5,IF(F20&gt;=5,0.25,0))))</f>
        <v/>
      </c>
      <c r="I20" s="10" t="str">
        <f aca="false">IF(H20="","",IF(G20="Estimated",IF(H20=1,0.5,IF(H20=0.5,0.25,0)),H20))</f>
        <v/>
      </c>
      <c r="J20" s="7"/>
      <c r="K20" s="11"/>
      <c r="L20" s="9"/>
      <c r="M20" s="12"/>
      <c r="N20" s="11"/>
    </row>
    <row r="21" customFormat="false" ht="15" hidden="false" customHeight="true" outlineLevel="0" collapsed="false">
      <c r="A21" s="7" t="s">
        <v>36</v>
      </c>
      <c r="B21" s="8" t="n">
        <v>46171</v>
      </c>
      <c r="C21" s="7" t="s">
        <v>45</v>
      </c>
      <c r="D21" s="7" t="s">
        <v>46</v>
      </c>
      <c r="E21" s="9" t="s">
        <v>37</v>
      </c>
      <c r="F21" s="9"/>
      <c r="G21" s="9"/>
      <c r="H21" s="10" t="str">
        <f aca="false">IF(F21="","",IF(F21&gt;=50,1,IF(F21&gt;=20,0.5,IF(F21&gt;=5,0.25,0))))</f>
        <v/>
      </c>
      <c r="I21" s="10" t="str">
        <f aca="false">IF(H21="","",IF(G21="Estimated",IF(H21=1,0.5,IF(H21=0.5,0.25,0)),H21))</f>
        <v/>
      </c>
      <c r="J21" s="7"/>
      <c r="K21" s="11"/>
      <c r="L21" s="9"/>
      <c r="M21" s="12"/>
      <c r="N21" s="11"/>
    </row>
    <row r="22" customFormat="false" ht="15" hidden="false" customHeight="true" outlineLevel="0" collapsed="false">
      <c r="A22" s="7" t="s">
        <v>13</v>
      </c>
      <c r="B22" s="8" t="n">
        <v>45443</v>
      </c>
      <c r="C22" s="7" t="s">
        <v>47</v>
      </c>
      <c r="D22" s="7" t="s">
        <v>48</v>
      </c>
      <c r="E22" s="9" t="s">
        <v>16</v>
      </c>
      <c r="F22" s="9"/>
      <c r="G22" s="9"/>
      <c r="H22" s="10" t="str">
        <f aca="false">IF(F22="","",IF(F22&gt;=50,1,IF(F22&gt;=20,0.5,IF(F22&gt;=5,0.25,0))))</f>
        <v/>
      </c>
      <c r="I22" s="10" t="str">
        <f aca="false">IF(H22="","",IF(G22="Estimated",IF(H22=1,0.5,IF(H22=0.5,0.25,0)),H22))</f>
        <v/>
      </c>
      <c r="J22" s="7"/>
      <c r="K22" s="11"/>
      <c r="L22" s="9"/>
      <c r="M22" s="12"/>
      <c r="N22" s="11"/>
    </row>
    <row r="23" customFormat="false" ht="15" hidden="false" customHeight="true" outlineLevel="0" collapsed="false">
      <c r="A23" s="7" t="s">
        <v>21</v>
      </c>
      <c r="B23" s="8" t="n">
        <v>45625</v>
      </c>
      <c r="C23" s="7" t="s">
        <v>47</v>
      </c>
      <c r="D23" s="7" t="s">
        <v>48</v>
      </c>
      <c r="E23" s="9" t="s">
        <v>22</v>
      </c>
      <c r="F23" s="9"/>
      <c r="G23" s="9"/>
      <c r="H23" s="10" t="str">
        <f aca="false">IF(F23="","",IF(F23&gt;=50,1,IF(F23&gt;=20,0.5,IF(F23&gt;=5,0.25,0))))</f>
        <v/>
      </c>
      <c r="I23" s="10" t="str">
        <f aca="false">IF(H23="","",IF(G23="Estimated",IF(H23=1,0.5,IF(H23=0.5,0.25,0)),H23))</f>
        <v/>
      </c>
      <c r="J23" s="7"/>
      <c r="K23" s="11"/>
      <c r="L23" s="9"/>
      <c r="M23" s="12"/>
      <c r="N23" s="11"/>
    </row>
    <row r="24" customFormat="false" ht="15" hidden="false" customHeight="true" outlineLevel="0" collapsed="false">
      <c r="A24" s="7" t="s">
        <v>26</v>
      </c>
      <c r="B24" s="8" t="n">
        <v>45807</v>
      </c>
      <c r="C24" s="7" t="s">
        <v>47</v>
      </c>
      <c r="D24" s="7" t="s">
        <v>48</v>
      </c>
      <c r="E24" s="9" t="s">
        <v>27</v>
      </c>
      <c r="F24" s="9"/>
      <c r="G24" s="9"/>
      <c r="H24" s="10" t="str">
        <f aca="false">IF(F24="","",IF(F24&gt;=50,1,IF(F24&gt;=20,0.5,IF(F24&gt;=5,0.25,0))))</f>
        <v/>
      </c>
      <c r="I24" s="10" t="str">
        <f aca="false">IF(H24="","",IF(G24="Estimated",IF(H24=1,0.5,IF(H24=0.5,0.25,0)),H24))</f>
        <v/>
      </c>
      <c r="J24" s="7"/>
      <c r="K24" s="11"/>
      <c r="L24" s="9"/>
      <c r="M24" s="12"/>
      <c r="N24" s="11"/>
    </row>
    <row r="25" customFormat="false" ht="15" hidden="false" customHeight="true" outlineLevel="0" collapsed="false">
      <c r="A25" s="7" t="s">
        <v>31</v>
      </c>
      <c r="B25" s="8" t="n">
        <v>45989</v>
      </c>
      <c r="C25" s="7" t="s">
        <v>47</v>
      </c>
      <c r="D25" s="7" t="s">
        <v>48</v>
      </c>
      <c r="E25" s="9" t="s">
        <v>32</v>
      </c>
      <c r="F25" s="9"/>
      <c r="G25" s="9"/>
      <c r="H25" s="10" t="str">
        <f aca="false">IF(F25="","",IF(F25&gt;=50,1,IF(F25&gt;=20,0.5,IF(F25&gt;=5,0.25,0))))</f>
        <v/>
      </c>
      <c r="I25" s="10" t="str">
        <f aca="false">IF(H25="","",IF(G25="Estimated",IF(H25=1,0.5,IF(H25=0.5,0.25,0)),H25))</f>
        <v/>
      </c>
      <c r="J25" s="7"/>
      <c r="K25" s="11"/>
      <c r="L25" s="9"/>
      <c r="M25" s="12"/>
      <c r="N25" s="11"/>
    </row>
    <row r="26" customFormat="false" ht="15" hidden="false" customHeight="true" outlineLevel="0" collapsed="false">
      <c r="A26" s="7" t="s">
        <v>36</v>
      </c>
      <c r="B26" s="8" t="n">
        <v>46171</v>
      </c>
      <c r="C26" s="7" t="s">
        <v>47</v>
      </c>
      <c r="D26" s="7" t="s">
        <v>48</v>
      </c>
      <c r="E26" s="9" t="s">
        <v>37</v>
      </c>
      <c r="F26" s="9"/>
      <c r="G26" s="9"/>
      <c r="H26" s="10" t="str">
        <f aca="false">IF(F26="","",IF(F26&gt;=50,1,IF(F26&gt;=20,0.5,IF(F26&gt;=5,0.25,0))))</f>
        <v/>
      </c>
      <c r="I26" s="10" t="str">
        <f aca="false">IF(H26="","",IF(G26="Estimated",IF(H26=1,0.5,IF(H26=0.5,0.25,0)),H26))</f>
        <v/>
      </c>
      <c r="J26" s="7"/>
      <c r="K26" s="11"/>
      <c r="L26" s="9"/>
      <c r="M26" s="12"/>
      <c r="N26" s="11"/>
    </row>
    <row r="27" customFormat="false" ht="15" hidden="false" customHeight="true" outlineLevel="0" collapsed="false">
      <c r="A27" s="7" t="s">
        <v>13</v>
      </c>
      <c r="B27" s="8" t="n">
        <v>45443</v>
      </c>
      <c r="C27" s="7" t="s">
        <v>49</v>
      </c>
      <c r="D27" s="7" t="s">
        <v>50</v>
      </c>
      <c r="E27" s="9" t="s">
        <v>16</v>
      </c>
      <c r="F27" s="9"/>
      <c r="G27" s="9"/>
      <c r="H27" s="10" t="str">
        <f aca="false">IF(F27="","",IF(F27&gt;=50,1,IF(F27&gt;=20,0.5,IF(F27&gt;=5,0.25,0))))</f>
        <v/>
      </c>
      <c r="I27" s="10" t="str">
        <f aca="false">IF(H27="","",IF(G27="Estimated",IF(H27=1,0.5,IF(H27=0.5,0.25,0)),H27))</f>
        <v/>
      </c>
      <c r="J27" s="7"/>
      <c r="K27" s="11"/>
      <c r="L27" s="9"/>
      <c r="M27" s="12"/>
      <c r="N27" s="11"/>
    </row>
    <row r="28" customFormat="false" ht="15" hidden="false" customHeight="true" outlineLevel="0" collapsed="false">
      <c r="A28" s="7" t="s">
        <v>21</v>
      </c>
      <c r="B28" s="8" t="n">
        <v>45625</v>
      </c>
      <c r="C28" s="7" t="s">
        <v>49</v>
      </c>
      <c r="D28" s="7" t="s">
        <v>50</v>
      </c>
      <c r="E28" s="9" t="s">
        <v>22</v>
      </c>
      <c r="F28" s="9"/>
      <c r="G28" s="9"/>
      <c r="H28" s="10" t="str">
        <f aca="false">IF(F28="","",IF(F28&gt;=50,1,IF(F28&gt;=20,0.5,IF(F28&gt;=5,0.25,0))))</f>
        <v/>
      </c>
      <c r="I28" s="10" t="str">
        <f aca="false">IF(H28="","",IF(G28="Estimated",IF(H28=1,0.5,IF(H28=0.5,0.25,0)),H28))</f>
        <v/>
      </c>
      <c r="J28" s="7"/>
      <c r="K28" s="11"/>
      <c r="L28" s="9"/>
      <c r="M28" s="12"/>
      <c r="N28" s="11"/>
    </row>
    <row r="29" customFormat="false" ht="15" hidden="false" customHeight="true" outlineLevel="0" collapsed="false">
      <c r="A29" s="7" t="s">
        <v>26</v>
      </c>
      <c r="B29" s="8" t="n">
        <v>45807</v>
      </c>
      <c r="C29" s="7" t="s">
        <v>49</v>
      </c>
      <c r="D29" s="7" t="s">
        <v>50</v>
      </c>
      <c r="E29" s="9" t="s">
        <v>27</v>
      </c>
      <c r="F29" s="9"/>
      <c r="G29" s="9"/>
      <c r="H29" s="10" t="str">
        <f aca="false">IF(F29="","",IF(F29&gt;=50,1,IF(F29&gt;=20,0.5,IF(F29&gt;=5,0.25,0))))</f>
        <v/>
      </c>
      <c r="I29" s="10" t="str">
        <f aca="false">IF(H29="","",IF(G29="Estimated",IF(H29=1,0.5,IF(H29=0.5,0.25,0)),H29))</f>
        <v/>
      </c>
      <c r="J29" s="7"/>
      <c r="K29" s="11"/>
      <c r="L29" s="9"/>
      <c r="M29" s="12"/>
      <c r="N29" s="11"/>
    </row>
    <row r="30" customFormat="false" ht="15" hidden="false" customHeight="true" outlineLevel="0" collapsed="false">
      <c r="A30" s="7" t="s">
        <v>31</v>
      </c>
      <c r="B30" s="8" t="n">
        <v>45989</v>
      </c>
      <c r="C30" s="7" t="s">
        <v>49</v>
      </c>
      <c r="D30" s="7" t="s">
        <v>50</v>
      </c>
      <c r="E30" s="9" t="s">
        <v>32</v>
      </c>
      <c r="F30" s="9"/>
      <c r="G30" s="9"/>
      <c r="H30" s="10" t="str">
        <f aca="false">IF(F30="","",IF(F30&gt;=50,1,IF(F30&gt;=20,0.5,IF(F30&gt;=5,0.25,0))))</f>
        <v/>
      </c>
      <c r="I30" s="10" t="str">
        <f aca="false">IF(H30="","",IF(G30="Estimated",IF(H30=1,0.5,IF(H30=0.5,0.25,0)),H30))</f>
        <v/>
      </c>
      <c r="J30" s="7"/>
      <c r="K30" s="11"/>
      <c r="L30" s="9"/>
      <c r="M30" s="12"/>
      <c r="N30" s="11"/>
    </row>
    <row r="31" customFormat="false" ht="15" hidden="false" customHeight="true" outlineLevel="0" collapsed="false">
      <c r="A31" s="7" t="s">
        <v>36</v>
      </c>
      <c r="B31" s="8" t="n">
        <v>46171</v>
      </c>
      <c r="C31" s="7" t="s">
        <v>49</v>
      </c>
      <c r="D31" s="7" t="s">
        <v>50</v>
      </c>
      <c r="E31" s="9" t="s">
        <v>37</v>
      </c>
      <c r="F31" s="9"/>
      <c r="G31" s="9"/>
      <c r="H31" s="10" t="str">
        <f aca="false">IF(F31="","",IF(F31&gt;=50,1,IF(F31&gt;=20,0.5,IF(F31&gt;=5,0.25,0))))</f>
        <v/>
      </c>
      <c r="I31" s="10" t="str">
        <f aca="false">IF(H31="","",IF(G31="Estimated",IF(H31=1,0.5,IF(H31=0.5,0.25,0)),H31))</f>
        <v/>
      </c>
      <c r="J31" s="7"/>
      <c r="K31" s="11"/>
      <c r="L31" s="9"/>
      <c r="M31" s="12"/>
      <c r="N31" s="11"/>
    </row>
    <row r="32" customFormat="false" ht="15" hidden="false" customHeight="true" outlineLevel="0" collapsed="false">
      <c r="A32" s="7" t="s">
        <v>13</v>
      </c>
      <c r="B32" s="8" t="n">
        <v>45443</v>
      </c>
      <c r="C32" s="7" t="s">
        <v>51</v>
      </c>
      <c r="D32" s="7" t="s">
        <v>52</v>
      </c>
      <c r="E32" s="9" t="s">
        <v>16</v>
      </c>
      <c r="F32" s="9"/>
      <c r="G32" s="9"/>
      <c r="H32" s="10" t="str">
        <f aca="false">IF(F32="","",IF(F32&gt;=50,1,IF(F32&gt;=20,0.5,IF(F32&gt;=5,0.25,0))))</f>
        <v/>
      </c>
      <c r="I32" s="10" t="str">
        <f aca="false">IF(H32="","",IF(G32="Estimated",IF(H32=1,0.5,IF(H32=0.5,0.25,0)),H32))</f>
        <v/>
      </c>
      <c r="J32" s="7"/>
      <c r="K32" s="11"/>
      <c r="L32" s="9"/>
      <c r="M32" s="12"/>
      <c r="N32" s="11"/>
    </row>
    <row r="33" customFormat="false" ht="15" hidden="false" customHeight="true" outlineLevel="0" collapsed="false">
      <c r="A33" s="7" t="s">
        <v>21</v>
      </c>
      <c r="B33" s="8" t="n">
        <v>45625</v>
      </c>
      <c r="C33" s="7" t="s">
        <v>51</v>
      </c>
      <c r="D33" s="7" t="s">
        <v>52</v>
      </c>
      <c r="E33" s="9" t="s">
        <v>22</v>
      </c>
      <c r="F33" s="9"/>
      <c r="G33" s="9"/>
      <c r="H33" s="10" t="str">
        <f aca="false">IF(F33="","",IF(F33&gt;=50,1,IF(F33&gt;=20,0.5,IF(F33&gt;=5,0.25,0))))</f>
        <v/>
      </c>
      <c r="I33" s="10" t="str">
        <f aca="false">IF(H33="","",IF(G33="Estimated",IF(H33=1,0.5,IF(H33=0.5,0.25,0)),H33))</f>
        <v/>
      </c>
      <c r="J33" s="7"/>
      <c r="K33" s="11"/>
      <c r="L33" s="9"/>
      <c r="M33" s="12"/>
      <c r="N33" s="11"/>
    </row>
    <row r="34" customFormat="false" ht="15" hidden="false" customHeight="true" outlineLevel="0" collapsed="false">
      <c r="A34" s="7" t="s">
        <v>26</v>
      </c>
      <c r="B34" s="8" t="n">
        <v>45807</v>
      </c>
      <c r="C34" s="7" t="s">
        <v>51</v>
      </c>
      <c r="D34" s="7" t="s">
        <v>52</v>
      </c>
      <c r="E34" s="9" t="s">
        <v>27</v>
      </c>
      <c r="F34" s="9"/>
      <c r="G34" s="9"/>
      <c r="H34" s="10" t="str">
        <f aca="false">IF(F34="","",IF(F34&gt;=50,1,IF(F34&gt;=20,0.5,IF(F34&gt;=5,0.25,0))))</f>
        <v/>
      </c>
      <c r="I34" s="10" t="str">
        <f aca="false">IF(H34="","",IF(G34="Estimated",IF(H34=1,0.5,IF(H34=0.5,0.25,0)),H34))</f>
        <v/>
      </c>
      <c r="J34" s="7"/>
      <c r="K34" s="11"/>
      <c r="L34" s="9"/>
      <c r="M34" s="12"/>
      <c r="N34" s="11"/>
    </row>
    <row r="35" customFormat="false" ht="15" hidden="false" customHeight="true" outlineLevel="0" collapsed="false">
      <c r="A35" s="7" t="s">
        <v>31</v>
      </c>
      <c r="B35" s="8" t="n">
        <v>45989</v>
      </c>
      <c r="C35" s="7" t="s">
        <v>51</v>
      </c>
      <c r="D35" s="7" t="s">
        <v>52</v>
      </c>
      <c r="E35" s="9" t="s">
        <v>32</v>
      </c>
      <c r="F35" s="9"/>
      <c r="G35" s="9"/>
      <c r="H35" s="10" t="str">
        <f aca="false">IF(F35="","",IF(F35&gt;=50,1,IF(F35&gt;=20,0.5,IF(F35&gt;=5,0.25,0))))</f>
        <v/>
      </c>
      <c r="I35" s="10" t="str">
        <f aca="false">IF(H35="","",IF(G35="Estimated",IF(H35=1,0.5,IF(H35=0.5,0.25,0)),H35))</f>
        <v/>
      </c>
      <c r="J35" s="7"/>
      <c r="K35" s="11"/>
      <c r="L35" s="9"/>
      <c r="M35" s="12"/>
      <c r="N35" s="11"/>
    </row>
    <row r="36" customFormat="false" ht="15" hidden="false" customHeight="true" outlineLevel="0" collapsed="false">
      <c r="A36" s="7" t="s">
        <v>36</v>
      </c>
      <c r="B36" s="8" t="n">
        <v>46171</v>
      </c>
      <c r="C36" s="7" t="s">
        <v>51</v>
      </c>
      <c r="D36" s="7" t="s">
        <v>52</v>
      </c>
      <c r="E36" s="9" t="s">
        <v>37</v>
      </c>
      <c r="F36" s="9"/>
      <c r="G36" s="9"/>
      <c r="H36" s="10" t="str">
        <f aca="false">IF(F36="","",IF(F36&gt;=50,1,IF(F36&gt;=20,0.5,IF(F36&gt;=5,0.25,0))))</f>
        <v/>
      </c>
      <c r="I36" s="10" t="str">
        <f aca="false">IF(H36="","",IF(G36="Estimated",IF(H36=1,0.5,IF(H36=0.5,0.25,0)),H36))</f>
        <v/>
      </c>
      <c r="J36" s="7"/>
      <c r="K36" s="11"/>
      <c r="L36" s="9"/>
      <c r="M36" s="12"/>
      <c r="N36" s="11"/>
    </row>
    <row r="37" customFormat="false" ht="15" hidden="false" customHeight="true" outlineLevel="0" collapsed="false">
      <c r="A37" s="7" t="s">
        <v>13</v>
      </c>
      <c r="B37" s="8" t="n">
        <v>45443</v>
      </c>
      <c r="C37" s="7" t="s">
        <v>53</v>
      </c>
      <c r="D37" s="7" t="s">
        <v>54</v>
      </c>
      <c r="E37" s="9" t="s">
        <v>16</v>
      </c>
      <c r="F37" s="9"/>
      <c r="G37" s="9"/>
      <c r="H37" s="10" t="str">
        <f aca="false">IF(F37="","",IF(F37&gt;=50,1,IF(F37&gt;=20,0.5,IF(F37&gt;=5,0.25,0))))</f>
        <v/>
      </c>
      <c r="I37" s="10" t="str">
        <f aca="false">IF(H37="","",IF(G37="Estimated",IF(H37=1,0.5,IF(H37=0.5,0.25,0)),H37))</f>
        <v/>
      </c>
      <c r="J37" s="7"/>
      <c r="K37" s="11"/>
      <c r="L37" s="9"/>
      <c r="M37" s="12"/>
      <c r="N37" s="11"/>
    </row>
    <row r="38" customFormat="false" ht="15" hidden="false" customHeight="true" outlineLevel="0" collapsed="false">
      <c r="A38" s="7" t="s">
        <v>21</v>
      </c>
      <c r="B38" s="8" t="n">
        <v>45625</v>
      </c>
      <c r="C38" s="7" t="s">
        <v>53</v>
      </c>
      <c r="D38" s="7" t="s">
        <v>54</v>
      </c>
      <c r="E38" s="9" t="s">
        <v>22</v>
      </c>
      <c r="F38" s="9"/>
      <c r="G38" s="9"/>
      <c r="H38" s="10" t="str">
        <f aca="false">IF(F38="","",IF(F38&gt;=50,1,IF(F38&gt;=20,0.5,IF(F38&gt;=5,0.25,0))))</f>
        <v/>
      </c>
      <c r="I38" s="10" t="str">
        <f aca="false">IF(H38="","",IF(G38="Estimated",IF(H38=1,0.5,IF(H38=0.5,0.25,0)),H38))</f>
        <v/>
      </c>
      <c r="J38" s="7"/>
      <c r="K38" s="11"/>
      <c r="L38" s="9"/>
      <c r="M38" s="12"/>
      <c r="N38" s="11"/>
    </row>
    <row r="39" customFormat="false" ht="15" hidden="false" customHeight="true" outlineLevel="0" collapsed="false">
      <c r="A39" s="7" t="s">
        <v>26</v>
      </c>
      <c r="B39" s="8" t="n">
        <v>45807</v>
      </c>
      <c r="C39" s="7" t="s">
        <v>53</v>
      </c>
      <c r="D39" s="7" t="s">
        <v>54</v>
      </c>
      <c r="E39" s="9" t="s">
        <v>27</v>
      </c>
      <c r="F39" s="9"/>
      <c r="G39" s="9"/>
      <c r="H39" s="10" t="str">
        <f aca="false">IF(F39="","",IF(F39&gt;=50,1,IF(F39&gt;=20,0.5,IF(F39&gt;=5,0.25,0))))</f>
        <v/>
      </c>
      <c r="I39" s="10" t="str">
        <f aca="false">IF(H39="","",IF(G39="Estimated",IF(H39=1,0.5,IF(H39=0.5,0.25,0)),H39))</f>
        <v/>
      </c>
      <c r="J39" s="7"/>
      <c r="K39" s="11"/>
      <c r="L39" s="9"/>
      <c r="M39" s="12"/>
      <c r="N39" s="11"/>
    </row>
    <row r="40" customFormat="false" ht="15" hidden="false" customHeight="true" outlineLevel="0" collapsed="false">
      <c r="A40" s="7" t="s">
        <v>31</v>
      </c>
      <c r="B40" s="8" t="n">
        <v>45989</v>
      </c>
      <c r="C40" s="7" t="s">
        <v>53</v>
      </c>
      <c r="D40" s="7" t="s">
        <v>54</v>
      </c>
      <c r="E40" s="9" t="s">
        <v>32</v>
      </c>
      <c r="F40" s="9"/>
      <c r="G40" s="9"/>
      <c r="H40" s="10" t="str">
        <f aca="false">IF(F40="","",IF(F40&gt;=50,1,IF(F40&gt;=20,0.5,IF(F40&gt;=5,0.25,0))))</f>
        <v/>
      </c>
      <c r="I40" s="10" t="str">
        <f aca="false">IF(H40="","",IF(G40="Estimated",IF(H40=1,0.5,IF(H40=0.5,0.25,0)),H40))</f>
        <v/>
      </c>
      <c r="J40" s="7"/>
      <c r="K40" s="11"/>
      <c r="L40" s="9"/>
      <c r="M40" s="12"/>
      <c r="N40" s="11"/>
    </row>
    <row r="41" customFormat="false" ht="15" hidden="false" customHeight="true" outlineLevel="0" collapsed="false">
      <c r="A41" s="7" t="s">
        <v>36</v>
      </c>
      <c r="B41" s="8" t="n">
        <v>46171</v>
      </c>
      <c r="C41" s="7" t="s">
        <v>53</v>
      </c>
      <c r="D41" s="7" t="s">
        <v>54</v>
      </c>
      <c r="E41" s="9" t="s">
        <v>37</v>
      </c>
      <c r="F41" s="9"/>
      <c r="G41" s="9"/>
      <c r="H41" s="10" t="str">
        <f aca="false">IF(F41="","",IF(F41&gt;=50,1,IF(F41&gt;=20,0.5,IF(F41&gt;=5,0.25,0))))</f>
        <v/>
      </c>
      <c r="I41" s="10" t="str">
        <f aca="false">IF(H41="","",IF(G41="Estimated",IF(H41=1,0.5,IF(H41=0.5,0.25,0)),H41))</f>
        <v/>
      </c>
      <c r="J41" s="7"/>
      <c r="K41" s="11"/>
      <c r="L41" s="9"/>
      <c r="M41" s="12"/>
      <c r="N41" s="11"/>
    </row>
    <row r="42" customFormat="false" ht="15" hidden="false" customHeight="true" outlineLevel="0" collapsed="false">
      <c r="A42" s="7" t="s">
        <v>13</v>
      </c>
      <c r="B42" s="8" t="n">
        <v>45443</v>
      </c>
      <c r="C42" s="7" t="s">
        <v>55</v>
      </c>
      <c r="D42" s="7" t="s">
        <v>56</v>
      </c>
      <c r="E42" s="9" t="s">
        <v>16</v>
      </c>
      <c r="F42" s="9"/>
      <c r="G42" s="9"/>
      <c r="H42" s="10" t="str">
        <f aca="false">IF(F42="","",IF(F42&gt;=50,1,IF(F42&gt;=20,0.5,IF(F42&gt;=5,0.25,0))))</f>
        <v/>
      </c>
      <c r="I42" s="10" t="str">
        <f aca="false">IF(H42="","",IF(G42="Estimated",IF(H42=1,0.5,IF(H42=0.5,0.25,0)),H42))</f>
        <v/>
      </c>
      <c r="J42" s="7"/>
      <c r="K42" s="11"/>
      <c r="L42" s="9"/>
      <c r="M42" s="12"/>
      <c r="N42" s="11"/>
    </row>
    <row r="43" customFormat="false" ht="15" hidden="false" customHeight="true" outlineLevel="0" collapsed="false">
      <c r="A43" s="7" t="s">
        <v>21</v>
      </c>
      <c r="B43" s="8" t="n">
        <v>45625</v>
      </c>
      <c r="C43" s="7" t="s">
        <v>55</v>
      </c>
      <c r="D43" s="7" t="s">
        <v>56</v>
      </c>
      <c r="E43" s="9" t="s">
        <v>22</v>
      </c>
      <c r="F43" s="9"/>
      <c r="G43" s="9"/>
      <c r="H43" s="10" t="str">
        <f aca="false">IF(F43="","",IF(F43&gt;=50,1,IF(F43&gt;=20,0.5,IF(F43&gt;=5,0.25,0))))</f>
        <v/>
      </c>
      <c r="I43" s="10" t="str">
        <f aca="false">IF(H43="","",IF(G43="Estimated",IF(H43=1,0.5,IF(H43=0.5,0.25,0)),H43))</f>
        <v/>
      </c>
      <c r="J43" s="7"/>
      <c r="K43" s="11"/>
      <c r="L43" s="9"/>
      <c r="M43" s="12"/>
      <c r="N43" s="11"/>
    </row>
    <row r="44" customFormat="false" ht="15" hidden="false" customHeight="true" outlineLevel="0" collapsed="false">
      <c r="A44" s="7" t="s">
        <v>26</v>
      </c>
      <c r="B44" s="8" t="n">
        <v>45807</v>
      </c>
      <c r="C44" s="7" t="s">
        <v>55</v>
      </c>
      <c r="D44" s="7" t="s">
        <v>56</v>
      </c>
      <c r="E44" s="9" t="s">
        <v>27</v>
      </c>
      <c r="F44" s="9"/>
      <c r="G44" s="9"/>
      <c r="H44" s="10" t="str">
        <f aca="false">IF(F44="","",IF(F44&gt;=50,1,IF(F44&gt;=20,0.5,IF(F44&gt;=5,0.25,0))))</f>
        <v/>
      </c>
      <c r="I44" s="10" t="str">
        <f aca="false">IF(H44="","",IF(G44="Estimated",IF(H44=1,0.5,IF(H44=0.5,0.25,0)),H44))</f>
        <v/>
      </c>
      <c r="J44" s="7"/>
      <c r="K44" s="11"/>
      <c r="L44" s="9"/>
      <c r="M44" s="12"/>
      <c r="N44" s="11"/>
    </row>
    <row r="45" customFormat="false" ht="15" hidden="false" customHeight="true" outlineLevel="0" collapsed="false">
      <c r="A45" s="7" t="s">
        <v>31</v>
      </c>
      <c r="B45" s="8" t="n">
        <v>45989</v>
      </c>
      <c r="C45" s="7" t="s">
        <v>55</v>
      </c>
      <c r="D45" s="7" t="s">
        <v>56</v>
      </c>
      <c r="E45" s="9" t="s">
        <v>32</v>
      </c>
      <c r="F45" s="9"/>
      <c r="G45" s="9"/>
      <c r="H45" s="10" t="str">
        <f aca="false">IF(F45="","",IF(F45&gt;=50,1,IF(F45&gt;=20,0.5,IF(F45&gt;=5,0.25,0))))</f>
        <v/>
      </c>
      <c r="I45" s="10" t="str">
        <f aca="false">IF(H45="","",IF(G45="Estimated",IF(H45=1,0.5,IF(H45=0.5,0.25,0)),H45))</f>
        <v/>
      </c>
      <c r="J45" s="7"/>
      <c r="K45" s="11"/>
      <c r="L45" s="9"/>
      <c r="M45" s="12"/>
      <c r="N45" s="11"/>
    </row>
    <row r="46" customFormat="false" ht="15" hidden="false" customHeight="true" outlineLevel="0" collapsed="false">
      <c r="A46" s="7" t="s">
        <v>36</v>
      </c>
      <c r="B46" s="8" t="n">
        <v>46171</v>
      </c>
      <c r="C46" s="7" t="s">
        <v>55</v>
      </c>
      <c r="D46" s="7" t="s">
        <v>56</v>
      </c>
      <c r="E46" s="9" t="s">
        <v>37</v>
      </c>
      <c r="F46" s="9"/>
      <c r="G46" s="9"/>
      <c r="H46" s="10" t="str">
        <f aca="false">IF(F46="","",IF(F46&gt;=50,1,IF(F46&gt;=20,0.5,IF(F46&gt;=5,0.25,0))))</f>
        <v/>
      </c>
      <c r="I46" s="10" t="str">
        <f aca="false">IF(H46="","",IF(G46="Estimated",IF(H46=1,0.5,IF(H46=0.5,0.25,0)),H46))</f>
        <v/>
      </c>
      <c r="J46" s="7"/>
      <c r="K46" s="11"/>
      <c r="L46" s="9"/>
      <c r="M46" s="12"/>
      <c r="N46" s="11"/>
    </row>
    <row r="47" customFormat="false" ht="15" hidden="false" customHeight="true" outlineLevel="0" collapsed="false">
      <c r="A47" s="7" t="s">
        <v>13</v>
      </c>
      <c r="B47" s="8" t="n">
        <v>45443</v>
      </c>
      <c r="C47" s="7" t="s">
        <v>57</v>
      </c>
      <c r="D47" s="7" t="s">
        <v>58</v>
      </c>
      <c r="E47" s="9" t="s">
        <v>16</v>
      </c>
      <c r="F47" s="9"/>
      <c r="G47" s="9"/>
      <c r="H47" s="10" t="str">
        <f aca="false">IF(F47="","",IF(F47&gt;=50,1,IF(F47&gt;=20,0.5,IF(F47&gt;=5,0.25,0))))</f>
        <v/>
      </c>
      <c r="I47" s="10" t="str">
        <f aca="false">IF(H47="","",IF(G47="Estimated",IF(H47=1,0.5,IF(H47=0.5,0.25,0)),H47))</f>
        <v/>
      </c>
      <c r="J47" s="7"/>
      <c r="K47" s="11"/>
      <c r="L47" s="9"/>
      <c r="M47" s="12"/>
      <c r="N47" s="11"/>
    </row>
    <row r="48" customFormat="false" ht="15" hidden="false" customHeight="true" outlineLevel="0" collapsed="false">
      <c r="A48" s="7" t="s">
        <v>21</v>
      </c>
      <c r="B48" s="8" t="n">
        <v>45625</v>
      </c>
      <c r="C48" s="7" t="s">
        <v>57</v>
      </c>
      <c r="D48" s="7" t="s">
        <v>58</v>
      </c>
      <c r="E48" s="9" t="s">
        <v>22</v>
      </c>
      <c r="F48" s="9"/>
      <c r="G48" s="9"/>
      <c r="H48" s="10" t="str">
        <f aca="false">IF(F48="","",IF(F48&gt;=50,1,IF(F48&gt;=20,0.5,IF(F48&gt;=5,0.25,0))))</f>
        <v/>
      </c>
      <c r="I48" s="10" t="str">
        <f aca="false">IF(H48="","",IF(G48="Estimated",IF(H48=1,0.5,IF(H48=0.5,0.25,0)),H48))</f>
        <v/>
      </c>
      <c r="J48" s="7"/>
      <c r="K48" s="11"/>
      <c r="L48" s="9"/>
      <c r="M48" s="12"/>
      <c r="N48" s="11"/>
    </row>
    <row r="49" customFormat="false" ht="15" hidden="false" customHeight="true" outlineLevel="0" collapsed="false">
      <c r="A49" s="7" t="s">
        <v>26</v>
      </c>
      <c r="B49" s="8" t="n">
        <v>45807</v>
      </c>
      <c r="C49" s="7" t="s">
        <v>57</v>
      </c>
      <c r="D49" s="7" t="s">
        <v>58</v>
      </c>
      <c r="E49" s="9" t="s">
        <v>27</v>
      </c>
      <c r="F49" s="9"/>
      <c r="G49" s="9"/>
      <c r="H49" s="10" t="str">
        <f aca="false">IF(F49="","",IF(F49&gt;=50,1,IF(F49&gt;=20,0.5,IF(F49&gt;=5,0.25,0))))</f>
        <v/>
      </c>
      <c r="I49" s="10" t="str">
        <f aca="false">IF(H49="","",IF(G49="Estimated",IF(H49=1,0.5,IF(H49=0.5,0.25,0)),H49))</f>
        <v/>
      </c>
      <c r="J49" s="7"/>
      <c r="K49" s="11"/>
      <c r="L49" s="9"/>
      <c r="M49" s="12"/>
      <c r="N49" s="11"/>
    </row>
    <row r="50" customFormat="false" ht="15" hidden="false" customHeight="true" outlineLevel="0" collapsed="false">
      <c r="A50" s="7" t="s">
        <v>31</v>
      </c>
      <c r="B50" s="8" t="n">
        <v>45989</v>
      </c>
      <c r="C50" s="7" t="s">
        <v>57</v>
      </c>
      <c r="D50" s="7" t="s">
        <v>58</v>
      </c>
      <c r="E50" s="9" t="s">
        <v>32</v>
      </c>
      <c r="F50" s="9"/>
      <c r="G50" s="9"/>
      <c r="H50" s="10" t="str">
        <f aca="false">IF(F50="","",IF(F50&gt;=50,1,IF(F50&gt;=20,0.5,IF(F50&gt;=5,0.25,0))))</f>
        <v/>
      </c>
      <c r="I50" s="10" t="str">
        <f aca="false">IF(H50="","",IF(G50="Estimated",IF(H50=1,0.5,IF(H50=0.5,0.25,0)),H50))</f>
        <v/>
      </c>
      <c r="J50" s="7"/>
      <c r="K50" s="11"/>
      <c r="L50" s="9"/>
      <c r="M50" s="12"/>
      <c r="N50" s="11"/>
    </row>
    <row r="51" customFormat="false" ht="15" hidden="false" customHeight="true" outlineLevel="0" collapsed="false">
      <c r="A51" s="7" t="s">
        <v>36</v>
      </c>
      <c r="B51" s="8" t="n">
        <v>46171</v>
      </c>
      <c r="C51" s="7" t="s">
        <v>57</v>
      </c>
      <c r="D51" s="7" t="s">
        <v>58</v>
      </c>
      <c r="E51" s="9" t="s">
        <v>37</v>
      </c>
      <c r="F51" s="9"/>
      <c r="G51" s="9"/>
      <c r="H51" s="10" t="str">
        <f aca="false">IF(F51="","",IF(F51&gt;=50,1,IF(F51&gt;=20,0.5,IF(F51&gt;=5,0.25,0))))</f>
        <v/>
      </c>
      <c r="I51" s="10" t="str">
        <f aca="false">IF(H51="","",IF(G51="Estimated",IF(H51=1,0.5,IF(H51=0.5,0.25,0)),H51))</f>
        <v/>
      </c>
      <c r="J51" s="7"/>
      <c r="K51" s="11"/>
      <c r="L51" s="9"/>
      <c r="M51" s="12"/>
      <c r="N51" s="11"/>
    </row>
    <row r="52" customFormat="false" ht="15" hidden="false" customHeight="true" outlineLevel="0" collapsed="false">
      <c r="A52" s="7" t="s">
        <v>13</v>
      </c>
      <c r="B52" s="8" t="n">
        <v>45443</v>
      </c>
      <c r="C52" s="7" t="s">
        <v>59</v>
      </c>
      <c r="D52" s="7" t="s">
        <v>60</v>
      </c>
      <c r="E52" s="9" t="s">
        <v>16</v>
      </c>
      <c r="F52" s="9"/>
      <c r="G52" s="9"/>
      <c r="H52" s="10" t="str">
        <f aca="false">IF(F52="","",IF(F52&gt;=50,1,IF(F52&gt;=20,0.5,IF(F52&gt;=5,0.25,0))))</f>
        <v/>
      </c>
      <c r="I52" s="10" t="str">
        <f aca="false">IF(H52="","",IF(G52="Estimated",IF(H52=1,0.5,IF(H52=0.5,0.25,0)),H52))</f>
        <v/>
      </c>
      <c r="J52" s="7"/>
      <c r="K52" s="11"/>
      <c r="L52" s="9"/>
      <c r="M52" s="12"/>
      <c r="N52" s="11"/>
    </row>
    <row r="53" customFormat="false" ht="15" hidden="false" customHeight="true" outlineLevel="0" collapsed="false">
      <c r="A53" s="7" t="s">
        <v>21</v>
      </c>
      <c r="B53" s="8" t="n">
        <v>45625</v>
      </c>
      <c r="C53" s="7" t="s">
        <v>59</v>
      </c>
      <c r="D53" s="7" t="s">
        <v>60</v>
      </c>
      <c r="E53" s="9" t="s">
        <v>22</v>
      </c>
      <c r="F53" s="9"/>
      <c r="G53" s="9"/>
      <c r="H53" s="10" t="str">
        <f aca="false">IF(F53="","",IF(F53&gt;=50,1,IF(F53&gt;=20,0.5,IF(F53&gt;=5,0.25,0))))</f>
        <v/>
      </c>
      <c r="I53" s="10" t="str">
        <f aca="false">IF(H53="","",IF(G53="Estimated",IF(H53=1,0.5,IF(H53=0.5,0.25,0)),H53))</f>
        <v/>
      </c>
      <c r="J53" s="7"/>
      <c r="K53" s="11"/>
      <c r="L53" s="9"/>
      <c r="M53" s="12"/>
      <c r="N53" s="11"/>
    </row>
    <row r="54" customFormat="false" ht="15" hidden="false" customHeight="true" outlineLevel="0" collapsed="false">
      <c r="A54" s="7" t="s">
        <v>26</v>
      </c>
      <c r="B54" s="8" t="n">
        <v>45807</v>
      </c>
      <c r="C54" s="7" t="s">
        <v>59</v>
      </c>
      <c r="D54" s="7" t="s">
        <v>60</v>
      </c>
      <c r="E54" s="9" t="s">
        <v>27</v>
      </c>
      <c r="F54" s="9"/>
      <c r="G54" s="9"/>
      <c r="H54" s="10" t="str">
        <f aca="false">IF(F54="","",IF(F54&gt;=50,1,IF(F54&gt;=20,0.5,IF(F54&gt;=5,0.25,0))))</f>
        <v/>
      </c>
      <c r="I54" s="10" t="str">
        <f aca="false">IF(H54="","",IF(G54="Estimated",IF(H54=1,0.5,IF(H54=0.5,0.25,0)),H54))</f>
        <v/>
      </c>
      <c r="J54" s="7"/>
      <c r="K54" s="11"/>
      <c r="L54" s="9"/>
      <c r="M54" s="12"/>
      <c r="N54" s="11"/>
    </row>
    <row r="55" customFormat="false" ht="15" hidden="false" customHeight="true" outlineLevel="0" collapsed="false">
      <c r="A55" s="7" t="s">
        <v>31</v>
      </c>
      <c r="B55" s="8" t="n">
        <v>45989</v>
      </c>
      <c r="C55" s="7" t="s">
        <v>59</v>
      </c>
      <c r="D55" s="7" t="s">
        <v>60</v>
      </c>
      <c r="E55" s="9" t="s">
        <v>32</v>
      </c>
      <c r="F55" s="9"/>
      <c r="G55" s="9"/>
      <c r="H55" s="10" t="str">
        <f aca="false">IF(F55="","",IF(F55&gt;=50,1,IF(F55&gt;=20,0.5,IF(F55&gt;=5,0.25,0))))</f>
        <v/>
      </c>
      <c r="I55" s="10" t="str">
        <f aca="false">IF(H55="","",IF(G55="Estimated",IF(H55=1,0.5,IF(H55=0.5,0.25,0)),H55))</f>
        <v/>
      </c>
      <c r="J55" s="7"/>
      <c r="K55" s="11"/>
      <c r="L55" s="9"/>
      <c r="M55" s="12"/>
      <c r="N55" s="11"/>
    </row>
    <row r="56" customFormat="false" ht="15" hidden="false" customHeight="true" outlineLevel="0" collapsed="false">
      <c r="A56" s="7" t="s">
        <v>36</v>
      </c>
      <c r="B56" s="8" t="n">
        <v>46171</v>
      </c>
      <c r="C56" s="7" t="s">
        <v>59</v>
      </c>
      <c r="D56" s="7" t="s">
        <v>60</v>
      </c>
      <c r="E56" s="9" t="s">
        <v>37</v>
      </c>
      <c r="F56" s="9"/>
      <c r="G56" s="9"/>
      <c r="H56" s="10" t="str">
        <f aca="false">IF(F56="","",IF(F56&gt;=50,1,IF(F56&gt;=20,0.5,IF(F56&gt;=5,0.25,0))))</f>
        <v/>
      </c>
      <c r="I56" s="10" t="str">
        <f aca="false">IF(H56="","",IF(G56="Estimated",IF(H56=1,0.5,IF(H56=0.5,0.25,0)),H56))</f>
        <v/>
      </c>
      <c r="J56" s="7"/>
      <c r="K56" s="11"/>
      <c r="L56" s="9"/>
      <c r="M56" s="12"/>
      <c r="N56" s="11"/>
    </row>
    <row r="57" customFormat="false" ht="15" hidden="false" customHeight="true" outlineLevel="0" collapsed="false">
      <c r="A57" s="7" t="s">
        <v>13</v>
      </c>
      <c r="B57" s="8" t="n">
        <v>45443</v>
      </c>
      <c r="C57" s="7" t="s">
        <v>61</v>
      </c>
      <c r="D57" s="7" t="s">
        <v>62</v>
      </c>
      <c r="E57" s="9" t="s">
        <v>16</v>
      </c>
      <c r="F57" s="9"/>
      <c r="G57" s="9"/>
      <c r="H57" s="10" t="str">
        <f aca="false">IF(F57="","",IF(F57&gt;=50,1,IF(F57&gt;=20,0.5,IF(F57&gt;=5,0.25,0))))</f>
        <v/>
      </c>
      <c r="I57" s="10" t="str">
        <f aca="false">IF(H57="","",IF(G57="Estimated",IF(H57=1,0.5,IF(H57=0.5,0.25,0)),H57))</f>
        <v/>
      </c>
      <c r="J57" s="7"/>
      <c r="K57" s="11"/>
      <c r="L57" s="9"/>
      <c r="M57" s="12"/>
      <c r="N57" s="11"/>
    </row>
    <row r="58" customFormat="false" ht="15" hidden="false" customHeight="true" outlineLevel="0" collapsed="false">
      <c r="A58" s="7" t="s">
        <v>21</v>
      </c>
      <c r="B58" s="8" t="n">
        <v>45625</v>
      </c>
      <c r="C58" s="7" t="s">
        <v>61</v>
      </c>
      <c r="D58" s="7" t="s">
        <v>62</v>
      </c>
      <c r="E58" s="9" t="s">
        <v>22</v>
      </c>
      <c r="F58" s="9"/>
      <c r="G58" s="9"/>
      <c r="H58" s="10" t="str">
        <f aca="false">IF(F58="","",IF(F58&gt;=50,1,IF(F58&gt;=20,0.5,IF(F58&gt;=5,0.25,0))))</f>
        <v/>
      </c>
      <c r="I58" s="10" t="str">
        <f aca="false">IF(H58="","",IF(G58="Estimated",IF(H58=1,0.5,IF(H58=0.5,0.25,0)),H58))</f>
        <v/>
      </c>
      <c r="J58" s="7"/>
      <c r="K58" s="11"/>
      <c r="L58" s="9"/>
      <c r="M58" s="12"/>
      <c r="N58" s="11"/>
    </row>
    <row r="59" customFormat="false" ht="15" hidden="false" customHeight="true" outlineLevel="0" collapsed="false">
      <c r="A59" s="7" t="s">
        <v>26</v>
      </c>
      <c r="B59" s="8" t="n">
        <v>45807</v>
      </c>
      <c r="C59" s="7" t="s">
        <v>61</v>
      </c>
      <c r="D59" s="7" t="s">
        <v>62</v>
      </c>
      <c r="E59" s="9" t="s">
        <v>27</v>
      </c>
      <c r="F59" s="9"/>
      <c r="G59" s="9"/>
      <c r="H59" s="10" t="str">
        <f aca="false">IF(F59="","",IF(F59&gt;=50,1,IF(F59&gt;=20,0.5,IF(F59&gt;=5,0.25,0))))</f>
        <v/>
      </c>
      <c r="I59" s="10" t="str">
        <f aca="false">IF(H59="","",IF(G59="Estimated",IF(H59=1,0.5,IF(H59=0.5,0.25,0)),H59))</f>
        <v/>
      </c>
      <c r="J59" s="7"/>
      <c r="K59" s="11"/>
      <c r="L59" s="9"/>
      <c r="M59" s="12"/>
      <c r="N59" s="11"/>
    </row>
    <row r="60" customFormat="false" ht="15" hidden="false" customHeight="true" outlineLevel="0" collapsed="false">
      <c r="A60" s="7" t="s">
        <v>31</v>
      </c>
      <c r="B60" s="8" t="n">
        <v>45989</v>
      </c>
      <c r="C60" s="7" t="s">
        <v>61</v>
      </c>
      <c r="D60" s="7" t="s">
        <v>62</v>
      </c>
      <c r="E60" s="9" t="s">
        <v>32</v>
      </c>
      <c r="F60" s="9"/>
      <c r="G60" s="9"/>
      <c r="H60" s="10" t="str">
        <f aca="false">IF(F60="","",IF(F60&gt;=50,1,IF(F60&gt;=20,0.5,IF(F60&gt;=5,0.25,0))))</f>
        <v/>
      </c>
      <c r="I60" s="10" t="str">
        <f aca="false">IF(H60="","",IF(G60="Estimated",IF(H60=1,0.5,IF(H60=0.5,0.25,0)),H60))</f>
        <v/>
      </c>
      <c r="J60" s="7"/>
      <c r="K60" s="11"/>
      <c r="L60" s="9"/>
      <c r="M60" s="12"/>
      <c r="N60" s="11"/>
    </row>
    <row r="61" customFormat="false" ht="15" hidden="false" customHeight="true" outlineLevel="0" collapsed="false">
      <c r="A61" s="7" t="s">
        <v>36</v>
      </c>
      <c r="B61" s="8" t="n">
        <v>46171</v>
      </c>
      <c r="C61" s="7" t="s">
        <v>61</v>
      </c>
      <c r="D61" s="7" t="s">
        <v>62</v>
      </c>
      <c r="E61" s="9" t="s">
        <v>37</v>
      </c>
      <c r="F61" s="9"/>
      <c r="G61" s="9"/>
      <c r="H61" s="10" t="str">
        <f aca="false">IF(F61="","",IF(F61&gt;=50,1,IF(F61&gt;=20,0.5,IF(F61&gt;=5,0.25,0))))</f>
        <v/>
      </c>
      <c r="I61" s="10" t="str">
        <f aca="false">IF(H61="","",IF(G61="Estimated",IF(H61=1,0.5,IF(H61=0.5,0.25,0)),H61))</f>
        <v/>
      </c>
      <c r="J61" s="7"/>
      <c r="K61" s="11"/>
      <c r="L61" s="9"/>
      <c r="M61" s="12"/>
      <c r="N61" s="11"/>
    </row>
    <row r="62" customFormat="false" ht="15" hidden="false" customHeight="true" outlineLevel="0" collapsed="false">
      <c r="A62" s="7" t="s">
        <v>13</v>
      </c>
      <c r="B62" s="8" t="n">
        <v>45443</v>
      </c>
      <c r="C62" s="7" t="s">
        <v>63</v>
      </c>
      <c r="D62" s="7" t="s">
        <v>64</v>
      </c>
      <c r="E62" s="9" t="s">
        <v>16</v>
      </c>
      <c r="F62" s="9"/>
      <c r="G62" s="9"/>
      <c r="H62" s="10" t="str">
        <f aca="false">IF(F62="","",IF(F62&gt;=50,1,IF(F62&gt;=20,0.5,IF(F62&gt;=5,0.25,0))))</f>
        <v/>
      </c>
      <c r="I62" s="10" t="str">
        <f aca="false">IF(H62="","",IF(G62="Estimated",IF(H62=1,0.5,IF(H62=0.5,0.25,0)),H62))</f>
        <v/>
      </c>
      <c r="J62" s="7"/>
      <c r="K62" s="11"/>
      <c r="L62" s="9"/>
      <c r="M62" s="12"/>
      <c r="N62" s="11"/>
    </row>
    <row r="63" customFormat="false" ht="15" hidden="false" customHeight="true" outlineLevel="0" collapsed="false">
      <c r="A63" s="7" t="s">
        <v>21</v>
      </c>
      <c r="B63" s="8" t="n">
        <v>45625</v>
      </c>
      <c r="C63" s="7" t="s">
        <v>63</v>
      </c>
      <c r="D63" s="7" t="s">
        <v>64</v>
      </c>
      <c r="E63" s="9" t="s">
        <v>22</v>
      </c>
      <c r="F63" s="9"/>
      <c r="G63" s="9"/>
      <c r="H63" s="10" t="str">
        <f aca="false">IF(F63="","",IF(F63&gt;=50,1,IF(F63&gt;=20,0.5,IF(F63&gt;=5,0.25,0))))</f>
        <v/>
      </c>
      <c r="I63" s="10" t="str">
        <f aca="false">IF(H63="","",IF(G63="Estimated",IF(H63=1,0.5,IF(H63=0.5,0.25,0)),H63))</f>
        <v/>
      </c>
      <c r="J63" s="7"/>
      <c r="K63" s="11"/>
      <c r="L63" s="9"/>
      <c r="M63" s="12"/>
      <c r="N63" s="11"/>
    </row>
    <row r="64" customFormat="false" ht="15" hidden="false" customHeight="true" outlineLevel="0" collapsed="false">
      <c r="A64" s="7" t="s">
        <v>26</v>
      </c>
      <c r="B64" s="8" t="n">
        <v>45807</v>
      </c>
      <c r="C64" s="7" t="s">
        <v>63</v>
      </c>
      <c r="D64" s="7" t="s">
        <v>64</v>
      </c>
      <c r="E64" s="9" t="s">
        <v>27</v>
      </c>
      <c r="F64" s="9"/>
      <c r="G64" s="9"/>
      <c r="H64" s="10" t="str">
        <f aca="false">IF(F64="","",IF(F64&gt;=50,1,IF(F64&gt;=20,0.5,IF(F64&gt;=5,0.25,0))))</f>
        <v/>
      </c>
      <c r="I64" s="10" t="str">
        <f aca="false">IF(H64="","",IF(G64="Estimated",IF(H64=1,0.5,IF(H64=0.5,0.25,0)),H64))</f>
        <v/>
      </c>
      <c r="J64" s="7"/>
      <c r="K64" s="11"/>
      <c r="L64" s="9"/>
      <c r="M64" s="12"/>
      <c r="N64" s="11"/>
    </row>
    <row r="65" customFormat="false" ht="15" hidden="false" customHeight="true" outlineLevel="0" collapsed="false">
      <c r="A65" s="7" t="s">
        <v>31</v>
      </c>
      <c r="B65" s="8" t="n">
        <v>45989</v>
      </c>
      <c r="C65" s="7" t="s">
        <v>63</v>
      </c>
      <c r="D65" s="7" t="s">
        <v>64</v>
      </c>
      <c r="E65" s="9" t="s">
        <v>32</v>
      </c>
      <c r="F65" s="9"/>
      <c r="G65" s="9"/>
      <c r="H65" s="10" t="str">
        <f aca="false">IF(F65="","",IF(F65&gt;=50,1,IF(F65&gt;=20,0.5,IF(F65&gt;=5,0.25,0))))</f>
        <v/>
      </c>
      <c r="I65" s="10" t="str">
        <f aca="false">IF(H65="","",IF(G65="Estimated",IF(H65=1,0.5,IF(H65=0.5,0.25,0)),H65))</f>
        <v/>
      </c>
      <c r="J65" s="7"/>
      <c r="K65" s="11"/>
      <c r="L65" s="9"/>
      <c r="M65" s="12"/>
      <c r="N65" s="11"/>
    </row>
    <row r="66" customFormat="false" ht="15" hidden="false" customHeight="true" outlineLevel="0" collapsed="false">
      <c r="A66" s="7" t="s">
        <v>36</v>
      </c>
      <c r="B66" s="8" t="n">
        <v>46171</v>
      </c>
      <c r="C66" s="7" t="s">
        <v>63</v>
      </c>
      <c r="D66" s="7" t="s">
        <v>64</v>
      </c>
      <c r="E66" s="9" t="s">
        <v>37</v>
      </c>
      <c r="F66" s="9"/>
      <c r="G66" s="9"/>
      <c r="H66" s="10" t="str">
        <f aca="false">IF(F66="","",IF(F66&gt;=50,1,IF(F66&gt;=20,0.5,IF(F66&gt;=5,0.25,0))))</f>
        <v/>
      </c>
      <c r="I66" s="10" t="str">
        <f aca="false">IF(H66="","",IF(G66="Estimated",IF(H66=1,0.5,IF(H66=0.5,0.25,0)),H66))</f>
        <v/>
      </c>
      <c r="J66" s="7"/>
      <c r="K66" s="11"/>
      <c r="L66" s="9"/>
      <c r="M66" s="12"/>
      <c r="N66" s="11"/>
    </row>
    <row r="67" customFormat="false" ht="15" hidden="false" customHeight="true" outlineLevel="0" collapsed="false">
      <c r="A67" s="7" t="s">
        <v>13</v>
      </c>
      <c r="B67" s="8" t="n">
        <v>45443</v>
      </c>
      <c r="C67" s="7" t="s">
        <v>65</v>
      </c>
      <c r="D67" s="7" t="s">
        <v>66</v>
      </c>
      <c r="E67" s="9" t="s">
        <v>16</v>
      </c>
      <c r="F67" s="9"/>
      <c r="G67" s="9"/>
      <c r="H67" s="10" t="str">
        <f aca="false">IF(F67="","",IF(F67&gt;=50,1,IF(F67&gt;=20,0.5,IF(F67&gt;=5,0.25,0))))</f>
        <v/>
      </c>
      <c r="I67" s="10" t="str">
        <f aca="false">IF(H67="","",IF(G67="Estimated",IF(H67=1,0.5,IF(H67=0.5,0.25,0)),H67))</f>
        <v/>
      </c>
      <c r="J67" s="7"/>
      <c r="K67" s="11"/>
      <c r="L67" s="9"/>
      <c r="M67" s="12"/>
      <c r="N67" s="11"/>
    </row>
    <row r="68" customFormat="false" ht="15" hidden="false" customHeight="true" outlineLevel="0" collapsed="false">
      <c r="A68" s="7" t="s">
        <v>21</v>
      </c>
      <c r="B68" s="8" t="n">
        <v>45625</v>
      </c>
      <c r="C68" s="7" t="s">
        <v>65</v>
      </c>
      <c r="D68" s="7" t="s">
        <v>66</v>
      </c>
      <c r="E68" s="9" t="s">
        <v>22</v>
      </c>
      <c r="F68" s="9"/>
      <c r="G68" s="9"/>
      <c r="H68" s="10" t="str">
        <f aca="false">IF(F68="","",IF(F68&gt;=50,1,IF(F68&gt;=20,0.5,IF(F68&gt;=5,0.25,0))))</f>
        <v/>
      </c>
      <c r="I68" s="10" t="str">
        <f aca="false">IF(H68="","",IF(G68="Estimated",IF(H68=1,0.5,IF(H68=0.5,0.25,0)),H68))</f>
        <v/>
      </c>
      <c r="J68" s="7"/>
      <c r="K68" s="11"/>
      <c r="L68" s="9"/>
      <c r="M68" s="12"/>
      <c r="N68" s="11"/>
    </row>
    <row r="69" customFormat="false" ht="15" hidden="false" customHeight="true" outlineLevel="0" collapsed="false">
      <c r="A69" s="7" t="s">
        <v>26</v>
      </c>
      <c r="B69" s="8" t="n">
        <v>45807</v>
      </c>
      <c r="C69" s="7" t="s">
        <v>65</v>
      </c>
      <c r="D69" s="7" t="s">
        <v>66</v>
      </c>
      <c r="E69" s="9" t="s">
        <v>27</v>
      </c>
      <c r="F69" s="9"/>
      <c r="G69" s="9"/>
      <c r="H69" s="10" t="str">
        <f aca="false">IF(F69="","",IF(F69&gt;=50,1,IF(F69&gt;=20,0.5,IF(F69&gt;=5,0.25,0))))</f>
        <v/>
      </c>
      <c r="I69" s="10" t="str">
        <f aca="false">IF(H69="","",IF(G69="Estimated",IF(H69=1,0.5,IF(H69=0.5,0.25,0)),H69))</f>
        <v/>
      </c>
      <c r="J69" s="7"/>
      <c r="K69" s="11"/>
      <c r="L69" s="9"/>
      <c r="M69" s="12"/>
      <c r="N69" s="11"/>
    </row>
    <row r="70" customFormat="false" ht="15" hidden="false" customHeight="true" outlineLevel="0" collapsed="false">
      <c r="A70" s="7" t="s">
        <v>31</v>
      </c>
      <c r="B70" s="8" t="n">
        <v>45989</v>
      </c>
      <c r="C70" s="7" t="s">
        <v>65</v>
      </c>
      <c r="D70" s="7" t="s">
        <v>66</v>
      </c>
      <c r="E70" s="9" t="s">
        <v>32</v>
      </c>
      <c r="F70" s="9"/>
      <c r="G70" s="9"/>
      <c r="H70" s="10" t="str">
        <f aca="false">IF(F70="","",IF(F70&gt;=50,1,IF(F70&gt;=20,0.5,IF(F70&gt;=5,0.25,0))))</f>
        <v/>
      </c>
      <c r="I70" s="10" t="str">
        <f aca="false">IF(H70="","",IF(G70="Estimated",IF(H70=1,0.5,IF(H70=0.5,0.25,0)),H70))</f>
        <v/>
      </c>
      <c r="J70" s="7"/>
      <c r="K70" s="11"/>
      <c r="L70" s="9"/>
      <c r="M70" s="12"/>
      <c r="N70" s="11"/>
    </row>
    <row r="71" customFormat="false" ht="15" hidden="false" customHeight="true" outlineLevel="0" collapsed="false">
      <c r="A71" s="7" t="s">
        <v>36</v>
      </c>
      <c r="B71" s="8" t="n">
        <v>46171</v>
      </c>
      <c r="C71" s="7" t="s">
        <v>65</v>
      </c>
      <c r="D71" s="7" t="s">
        <v>66</v>
      </c>
      <c r="E71" s="9" t="s">
        <v>37</v>
      </c>
      <c r="F71" s="9"/>
      <c r="G71" s="9"/>
      <c r="H71" s="10" t="str">
        <f aca="false">IF(F71="","",IF(F71&gt;=50,1,IF(F71&gt;=20,0.5,IF(F71&gt;=5,0.25,0))))</f>
        <v/>
      </c>
      <c r="I71" s="10" t="str">
        <f aca="false">IF(H71="","",IF(G71="Estimated",IF(H71=1,0.5,IF(H71=0.5,0.25,0)),H71))</f>
        <v/>
      </c>
      <c r="J71" s="7"/>
      <c r="K71" s="11"/>
      <c r="L71" s="9"/>
      <c r="M71" s="12"/>
      <c r="N71" s="11"/>
    </row>
    <row r="72" customFormat="false" ht="15" hidden="false" customHeight="true" outlineLevel="0" collapsed="false">
      <c r="A72" s="7" t="s">
        <v>13</v>
      </c>
      <c r="B72" s="8" t="n">
        <v>45443</v>
      </c>
      <c r="C72" s="7" t="s">
        <v>67</v>
      </c>
      <c r="D72" s="7" t="s">
        <v>68</v>
      </c>
      <c r="E72" s="9" t="s">
        <v>16</v>
      </c>
      <c r="F72" s="9"/>
      <c r="G72" s="9"/>
      <c r="H72" s="10" t="str">
        <f aca="false">IF(F72="","",IF(F72&gt;=50,1,IF(F72&gt;=20,0.5,IF(F72&gt;=5,0.25,0))))</f>
        <v/>
      </c>
      <c r="I72" s="10" t="str">
        <f aca="false">IF(H72="","",IF(G72="Estimated",IF(H72=1,0.5,IF(H72=0.5,0.25,0)),H72))</f>
        <v/>
      </c>
      <c r="J72" s="7"/>
      <c r="K72" s="11"/>
      <c r="L72" s="9"/>
      <c r="M72" s="12"/>
      <c r="N72" s="11"/>
    </row>
    <row r="73" customFormat="false" ht="15" hidden="false" customHeight="true" outlineLevel="0" collapsed="false">
      <c r="A73" s="7" t="s">
        <v>21</v>
      </c>
      <c r="B73" s="8" t="n">
        <v>45625</v>
      </c>
      <c r="C73" s="7" t="s">
        <v>67</v>
      </c>
      <c r="D73" s="7" t="s">
        <v>68</v>
      </c>
      <c r="E73" s="9" t="s">
        <v>22</v>
      </c>
      <c r="F73" s="9"/>
      <c r="G73" s="9"/>
      <c r="H73" s="10" t="str">
        <f aca="false">IF(F73="","",IF(F73&gt;=50,1,IF(F73&gt;=20,0.5,IF(F73&gt;=5,0.25,0))))</f>
        <v/>
      </c>
      <c r="I73" s="10" t="str">
        <f aca="false">IF(H73="","",IF(G73="Estimated",IF(H73=1,0.5,IF(H73=0.5,0.25,0)),H73))</f>
        <v/>
      </c>
      <c r="J73" s="7"/>
      <c r="K73" s="11"/>
      <c r="L73" s="9"/>
      <c r="M73" s="12"/>
      <c r="N73" s="11"/>
    </row>
    <row r="74" customFormat="false" ht="15" hidden="false" customHeight="true" outlineLevel="0" collapsed="false">
      <c r="A74" s="7" t="s">
        <v>26</v>
      </c>
      <c r="B74" s="8" t="n">
        <v>45807</v>
      </c>
      <c r="C74" s="7" t="s">
        <v>67</v>
      </c>
      <c r="D74" s="7" t="s">
        <v>68</v>
      </c>
      <c r="E74" s="9" t="s">
        <v>27</v>
      </c>
      <c r="F74" s="9"/>
      <c r="G74" s="9"/>
      <c r="H74" s="10" t="str">
        <f aca="false">IF(F74="","",IF(F74&gt;=50,1,IF(F74&gt;=20,0.5,IF(F74&gt;=5,0.25,0))))</f>
        <v/>
      </c>
      <c r="I74" s="10" t="str">
        <f aca="false">IF(H74="","",IF(G74="Estimated",IF(H74=1,0.5,IF(H74=0.5,0.25,0)),H74))</f>
        <v/>
      </c>
      <c r="J74" s="7"/>
      <c r="K74" s="11"/>
      <c r="L74" s="9"/>
      <c r="M74" s="12"/>
      <c r="N74" s="11"/>
    </row>
    <row r="75" customFormat="false" ht="15" hidden="false" customHeight="true" outlineLevel="0" collapsed="false">
      <c r="A75" s="7" t="s">
        <v>31</v>
      </c>
      <c r="B75" s="8" t="n">
        <v>45989</v>
      </c>
      <c r="C75" s="7" t="s">
        <v>67</v>
      </c>
      <c r="D75" s="7" t="s">
        <v>68</v>
      </c>
      <c r="E75" s="9" t="s">
        <v>32</v>
      </c>
      <c r="F75" s="9"/>
      <c r="G75" s="9"/>
      <c r="H75" s="10" t="str">
        <f aca="false">IF(F75="","",IF(F75&gt;=50,1,IF(F75&gt;=20,0.5,IF(F75&gt;=5,0.25,0))))</f>
        <v/>
      </c>
      <c r="I75" s="10" t="str">
        <f aca="false">IF(H75="","",IF(G75="Estimated",IF(H75=1,0.5,IF(H75=0.5,0.25,0)),H75))</f>
        <v/>
      </c>
      <c r="J75" s="7"/>
      <c r="K75" s="11"/>
      <c r="L75" s="9"/>
      <c r="M75" s="12"/>
      <c r="N75" s="11"/>
    </row>
    <row r="76" customFormat="false" ht="15" hidden="false" customHeight="true" outlineLevel="0" collapsed="false">
      <c r="A76" s="7" t="s">
        <v>36</v>
      </c>
      <c r="B76" s="8" t="n">
        <v>46171</v>
      </c>
      <c r="C76" s="7" t="s">
        <v>67</v>
      </c>
      <c r="D76" s="7" t="s">
        <v>68</v>
      </c>
      <c r="E76" s="9" t="s">
        <v>37</v>
      </c>
      <c r="F76" s="9"/>
      <c r="G76" s="9"/>
      <c r="H76" s="10" t="str">
        <f aca="false">IF(F76="","",IF(F76&gt;=50,1,IF(F76&gt;=20,0.5,IF(F76&gt;=5,0.25,0))))</f>
        <v/>
      </c>
      <c r="I76" s="10" t="str">
        <f aca="false">IF(H76="","",IF(G76="Estimated",IF(H76=1,0.5,IF(H76=0.5,0.25,0)),H76))</f>
        <v/>
      </c>
      <c r="J76" s="7"/>
      <c r="K76" s="11"/>
      <c r="L76" s="9"/>
      <c r="M76" s="12"/>
      <c r="N76" s="11"/>
    </row>
    <row r="77" customFormat="false" ht="15" hidden="false" customHeight="true" outlineLevel="0" collapsed="false">
      <c r="A77" s="7" t="s">
        <v>13</v>
      </c>
      <c r="B77" s="8" t="n">
        <v>45443</v>
      </c>
      <c r="C77" s="7" t="s">
        <v>69</v>
      </c>
      <c r="D77" s="7" t="s">
        <v>70</v>
      </c>
      <c r="E77" s="9" t="s">
        <v>16</v>
      </c>
      <c r="F77" s="9"/>
      <c r="G77" s="9"/>
      <c r="H77" s="10" t="str">
        <f aca="false">IF(F77="","",IF(F77&gt;=50,1,IF(F77&gt;=20,0.5,IF(F77&gt;=5,0.25,0))))</f>
        <v/>
      </c>
      <c r="I77" s="10" t="str">
        <f aca="false">IF(H77="","",IF(G77="Estimated",IF(H77=1,0.5,IF(H77=0.5,0.25,0)),H77))</f>
        <v/>
      </c>
      <c r="J77" s="7"/>
      <c r="K77" s="11"/>
      <c r="L77" s="9"/>
      <c r="M77" s="12"/>
      <c r="N77" s="11"/>
    </row>
    <row r="78" customFormat="false" ht="15" hidden="false" customHeight="true" outlineLevel="0" collapsed="false">
      <c r="A78" s="7" t="s">
        <v>21</v>
      </c>
      <c r="B78" s="8" t="n">
        <v>45625</v>
      </c>
      <c r="C78" s="7" t="s">
        <v>69</v>
      </c>
      <c r="D78" s="7" t="s">
        <v>70</v>
      </c>
      <c r="E78" s="9" t="s">
        <v>22</v>
      </c>
      <c r="F78" s="9"/>
      <c r="G78" s="9"/>
      <c r="H78" s="10" t="str">
        <f aca="false">IF(F78="","",IF(F78&gt;=50,1,IF(F78&gt;=20,0.5,IF(F78&gt;=5,0.25,0))))</f>
        <v/>
      </c>
      <c r="I78" s="10" t="str">
        <f aca="false">IF(H78="","",IF(G78="Estimated",IF(H78=1,0.5,IF(H78=0.5,0.25,0)),H78))</f>
        <v/>
      </c>
      <c r="J78" s="7"/>
      <c r="K78" s="11"/>
      <c r="L78" s="9"/>
      <c r="M78" s="12"/>
      <c r="N78" s="11"/>
    </row>
    <row r="79" customFormat="false" ht="15" hidden="false" customHeight="true" outlineLevel="0" collapsed="false">
      <c r="A79" s="7" t="s">
        <v>26</v>
      </c>
      <c r="B79" s="8" t="n">
        <v>45807</v>
      </c>
      <c r="C79" s="7" t="s">
        <v>69</v>
      </c>
      <c r="D79" s="7" t="s">
        <v>70</v>
      </c>
      <c r="E79" s="9" t="s">
        <v>27</v>
      </c>
      <c r="F79" s="9"/>
      <c r="G79" s="9"/>
      <c r="H79" s="10" t="str">
        <f aca="false">IF(F79="","",IF(F79&gt;=50,1,IF(F79&gt;=20,0.5,IF(F79&gt;=5,0.25,0))))</f>
        <v/>
      </c>
      <c r="I79" s="10" t="str">
        <f aca="false">IF(H79="","",IF(G79="Estimated",IF(H79=1,0.5,IF(H79=0.5,0.25,0)),H79))</f>
        <v/>
      </c>
      <c r="J79" s="7"/>
      <c r="K79" s="11"/>
      <c r="L79" s="9"/>
      <c r="M79" s="12"/>
      <c r="N79" s="11"/>
    </row>
    <row r="80" customFormat="false" ht="15" hidden="false" customHeight="true" outlineLevel="0" collapsed="false">
      <c r="A80" s="7" t="s">
        <v>31</v>
      </c>
      <c r="B80" s="8" t="n">
        <v>45989</v>
      </c>
      <c r="C80" s="7" t="s">
        <v>69</v>
      </c>
      <c r="D80" s="7" t="s">
        <v>70</v>
      </c>
      <c r="E80" s="9" t="s">
        <v>32</v>
      </c>
      <c r="F80" s="9"/>
      <c r="G80" s="9"/>
      <c r="H80" s="10" t="str">
        <f aca="false">IF(F80="","",IF(F80&gt;=50,1,IF(F80&gt;=20,0.5,IF(F80&gt;=5,0.25,0))))</f>
        <v/>
      </c>
      <c r="I80" s="10" t="str">
        <f aca="false">IF(H80="","",IF(G80="Estimated",IF(H80=1,0.5,IF(H80=0.5,0.25,0)),H80))</f>
        <v/>
      </c>
      <c r="J80" s="7"/>
      <c r="K80" s="11"/>
      <c r="L80" s="9"/>
      <c r="M80" s="12"/>
      <c r="N80" s="11"/>
    </row>
    <row r="81" customFormat="false" ht="15" hidden="false" customHeight="true" outlineLevel="0" collapsed="false">
      <c r="A81" s="7" t="s">
        <v>36</v>
      </c>
      <c r="B81" s="8" t="n">
        <v>46171</v>
      </c>
      <c r="C81" s="7" t="s">
        <v>69</v>
      </c>
      <c r="D81" s="7" t="s">
        <v>70</v>
      </c>
      <c r="E81" s="9" t="s">
        <v>37</v>
      </c>
      <c r="F81" s="9"/>
      <c r="G81" s="9"/>
      <c r="H81" s="10" t="str">
        <f aca="false">IF(F81="","",IF(F81&gt;=50,1,IF(F81&gt;=20,0.5,IF(F81&gt;=5,0.25,0))))</f>
        <v/>
      </c>
      <c r="I81" s="10" t="str">
        <f aca="false">IF(H81="","",IF(G81="Estimated",IF(H81=1,0.5,IF(H81=0.5,0.25,0)),H81))</f>
        <v/>
      </c>
      <c r="J81" s="7"/>
      <c r="K81" s="11"/>
      <c r="L81" s="9"/>
      <c r="M81" s="12"/>
      <c r="N81" s="11"/>
    </row>
    <row r="82" customFormat="false" ht="15" hidden="false" customHeight="true" outlineLevel="0" collapsed="false">
      <c r="A82" s="7" t="s">
        <v>13</v>
      </c>
      <c r="B82" s="8" t="n">
        <v>45443</v>
      </c>
      <c r="C82" s="7" t="s">
        <v>71</v>
      </c>
      <c r="D82" s="7" t="s">
        <v>72</v>
      </c>
      <c r="E82" s="9" t="s">
        <v>16</v>
      </c>
      <c r="F82" s="9"/>
      <c r="G82" s="9"/>
      <c r="H82" s="10" t="str">
        <f aca="false">IF(F82="","",IF(F82&gt;=50,1,IF(F82&gt;=20,0.5,IF(F82&gt;=5,0.25,0))))</f>
        <v/>
      </c>
      <c r="I82" s="10" t="str">
        <f aca="false">IF(H82="","",IF(G82="Estimated",IF(H82=1,0.5,IF(H82=0.5,0.25,0)),H82))</f>
        <v/>
      </c>
      <c r="J82" s="7"/>
      <c r="K82" s="11"/>
      <c r="L82" s="9"/>
      <c r="M82" s="12"/>
      <c r="N82" s="11"/>
    </row>
    <row r="83" customFormat="false" ht="15" hidden="false" customHeight="true" outlineLevel="0" collapsed="false">
      <c r="A83" s="7" t="s">
        <v>21</v>
      </c>
      <c r="B83" s="8" t="n">
        <v>45625</v>
      </c>
      <c r="C83" s="7" t="s">
        <v>71</v>
      </c>
      <c r="D83" s="7" t="s">
        <v>72</v>
      </c>
      <c r="E83" s="9" t="s">
        <v>22</v>
      </c>
      <c r="F83" s="9"/>
      <c r="G83" s="9"/>
      <c r="H83" s="10" t="str">
        <f aca="false">IF(F83="","",IF(F83&gt;=50,1,IF(F83&gt;=20,0.5,IF(F83&gt;=5,0.25,0))))</f>
        <v/>
      </c>
      <c r="I83" s="10" t="str">
        <f aca="false">IF(H83="","",IF(G83="Estimated",IF(H83=1,0.5,IF(H83=0.5,0.25,0)),H83))</f>
        <v/>
      </c>
      <c r="J83" s="7"/>
      <c r="K83" s="11"/>
      <c r="L83" s="9"/>
      <c r="M83" s="12"/>
      <c r="N83" s="11"/>
    </row>
    <row r="84" customFormat="false" ht="15" hidden="false" customHeight="true" outlineLevel="0" collapsed="false">
      <c r="A84" s="7" t="s">
        <v>26</v>
      </c>
      <c r="B84" s="8" t="n">
        <v>45807</v>
      </c>
      <c r="C84" s="7" t="s">
        <v>71</v>
      </c>
      <c r="D84" s="7" t="s">
        <v>72</v>
      </c>
      <c r="E84" s="9" t="s">
        <v>27</v>
      </c>
      <c r="F84" s="9"/>
      <c r="G84" s="9"/>
      <c r="H84" s="10" t="str">
        <f aca="false">IF(F84="","",IF(F84&gt;=50,1,IF(F84&gt;=20,0.5,IF(F84&gt;=5,0.25,0))))</f>
        <v/>
      </c>
      <c r="I84" s="10" t="str">
        <f aca="false">IF(H84="","",IF(G84="Estimated",IF(H84=1,0.5,IF(H84=0.5,0.25,0)),H84))</f>
        <v/>
      </c>
      <c r="J84" s="7"/>
      <c r="K84" s="11"/>
      <c r="L84" s="9"/>
      <c r="M84" s="12"/>
      <c r="N84" s="11"/>
    </row>
    <row r="85" customFormat="false" ht="15" hidden="false" customHeight="true" outlineLevel="0" collapsed="false">
      <c r="A85" s="7" t="s">
        <v>31</v>
      </c>
      <c r="B85" s="8" t="n">
        <v>45989</v>
      </c>
      <c r="C85" s="7" t="s">
        <v>71</v>
      </c>
      <c r="D85" s="7" t="s">
        <v>72</v>
      </c>
      <c r="E85" s="9" t="s">
        <v>32</v>
      </c>
      <c r="F85" s="9"/>
      <c r="G85" s="9"/>
      <c r="H85" s="10" t="str">
        <f aca="false">IF(F85="","",IF(F85&gt;=50,1,IF(F85&gt;=20,0.5,IF(F85&gt;=5,0.25,0))))</f>
        <v/>
      </c>
      <c r="I85" s="10" t="str">
        <f aca="false">IF(H85="","",IF(G85="Estimated",IF(H85=1,0.5,IF(H85=0.5,0.25,0)),H85))</f>
        <v/>
      </c>
      <c r="J85" s="7"/>
      <c r="K85" s="11"/>
      <c r="L85" s="9"/>
      <c r="M85" s="12"/>
      <c r="N85" s="11"/>
    </row>
    <row r="86" customFormat="false" ht="15" hidden="false" customHeight="true" outlineLevel="0" collapsed="false">
      <c r="A86" s="7" t="s">
        <v>36</v>
      </c>
      <c r="B86" s="8" t="n">
        <v>46171</v>
      </c>
      <c r="C86" s="7" t="s">
        <v>71</v>
      </c>
      <c r="D86" s="7" t="s">
        <v>72</v>
      </c>
      <c r="E86" s="9" t="s">
        <v>37</v>
      </c>
      <c r="F86" s="9"/>
      <c r="G86" s="9"/>
      <c r="H86" s="10" t="str">
        <f aca="false">IF(F86="","",IF(F86&gt;=50,1,IF(F86&gt;=20,0.5,IF(F86&gt;=5,0.25,0))))</f>
        <v/>
      </c>
      <c r="I86" s="10" t="str">
        <f aca="false">IF(H86="","",IF(G86="Estimated",IF(H86=1,0.5,IF(H86=0.5,0.25,0)),H86))</f>
        <v/>
      </c>
      <c r="J86" s="7"/>
      <c r="K86" s="11"/>
      <c r="L86" s="9"/>
      <c r="M86" s="12"/>
      <c r="N86" s="11"/>
    </row>
    <row r="87" customFormat="false" ht="15" hidden="false" customHeight="true" outlineLevel="0" collapsed="false">
      <c r="A87" s="7" t="s">
        <v>13</v>
      </c>
      <c r="B87" s="8" t="n">
        <v>45443</v>
      </c>
      <c r="C87" s="7" t="s">
        <v>73</v>
      </c>
      <c r="D87" s="7" t="s">
        <v>74</v>
      </c>
      <c r="E87" s="9" t="s">
        <v>16</v>
      </c>
      <c r="F87" s="9"/>
      <c r="G87" s="9"/>
      <c r="H87" s="10" t="str">
        <f aca="false">IF(F87="","",IF(F87&gt;=50,1,IF(F87&gt;=20,0.5,IF(F87&gt;=5,0.25,0))))</f>
        <v/>
      </c>
      <c r="I87" s="10" t="str">
        <f aca="false">IF(H87="","",IF(G87="Estimated",IF(H87=1,0.5,IF(H87=0.5,0.25,0)),H87))</f>
        <v/>
      </c>
      <c r="J87" s="7"/>
      <c r="K87" s="11"/>
      <c r="L87" s="9"/>
      <c r="M87" s="12"/>
      <c r="N87" s="11"/>
    </row>
    <row r="88" customFormat="false" ht="15" hidden="false" customHeight="true" outlineLevel="0" collapsed="false">
      <c r="A88" s="7" t="s">
        <v>21</v>
      </c>
      <c r="B88" s="8" t="n">
        <v>45625</v>
      </c>
      <c r="C88" s="7" t="s">
        <v>73</v>
      </c>
      <c r="D88" s="7" t="s">
        <v>74</v>
      </c>
      <c r="E88" s="9" t="s">
        <v>22</v>
      </c>
      <c r="F88" s="9"/>
      <c r="G88" s="9"/>
      <c r="H88" s="10" t="str">
        <f aca="false">IF(F88="","",IF(F88&gt;=50,1,IF(F88&gt;=20,0.5,IF(F88&gt;=5,0.25,0))))</f>
        <v/>
      </c>
      <c r="I88" s="10" t="str">
        <f aca="false">IF(H88="","",IF(G88="Estimated",IF(H88=1,0.5,IF(H88=0.5,0.25,0)),H88))</f>
        <v/>
      </c>
      <c r="J88" s="7"/>
      <c r="K88" s="11"/>
      <c r="L88" s="9"/>
      <c r="M88" s="12"/>
      <c r="N88" s="11"/>
    </row>
    <row r="89" customFormat="false" ht="15" hidden="false" customHeight="true" outlineLevel="0" collapsed="false">
      <c r="A89" s="7" t="s">
        <v>26</v>
      </c>
      <c r="B89" s="8" t="n">
        <v>45807</v>
      </c>
      <c r="C89" s="7" t="s">
        <v>73</v>
      </c>
      <c r="D89" s="7" t="s">
        <v>74</v>
      </c>
      <c r="E89" s="9" t="s">
        <v>27</v>
      </c>
      <c r="F89" s="9"/>
      <c r="G89" s="9"/>
      <c r="H89" s="10" t="str">
        <f aca="false">IF(F89="","",IF(F89&gt;=50,1,IF(F89&gt;=20,0.5,IF(F89&gt;=5,0.25,0))))</f>
        <v/>
      </c>
      <c r="I89" s="10" t="str">
        <f aca="false">IF(H89="","",IF(G89="Estimated",IF(H89=1,0.5,IF(H89=0.5,0.25,0)),H89))</f>
        <v/>
      </c>
      <c r="J89" s="7"/>
      <c r="K89" s="11"/>
      <c r="L89" s="9"/>
      <c r="M89" s="12"/>
      <c r="N89" s="11"/>
    </row>
    <row r="90" customFormat="false" ht="15" hidden="false" customHeight="true" outlineLevel="0" collapsed="false">
      <c r="A90" s="7" t="s">
        <v>31</v>
      </c>
      <c r="B90" s="8" t="n">
        <v>45989</v>
      </c>
      <c r="C90" s="7" t="s">
        <v>73</v>
      </c>
      <c r="D90" s="7" t="s">
        <v>74</v>
      </c>
      <c r="E90" s="9" t="s">
        <v>32</v>
      </c>
      <c r="F90" s="9"/>
      <c r="G90" s="9"/>
      <c r="H90" s="10" t="str">
        <f aca="false">IF(F90="","",IF(F90&gt;=50,1,IF(F90&gt;=20,0.5,IF(F90&gt;=5,0.25,0))))</f>
        <v/>
      </c>
      <c r="I90" s="10" t="str">
        <f aca="false">IF(H90="","",IF(G90="Estimated",IF(H90=1,0.5,IF(H90=0.5,0.25,0)),H90))</f>
        <v/>
      </c>
      <c r="J90" s="7"/>
      <c r="K90" s="11"/>
      <c r="L90" s="9"/>
      <c r="M90" s="12"/>
      <c r="N90" s="11"/>
    </row>
    <row r="91" customFormat="false" ht="15" hidden="false" customHeight="true" outlineLevel="0" collapsed="false">
      <c r="A91" s="7" t="s">
        <v>36</v>
      </c>
      <c r="B91" s="8" t="n">
        <v>46171</v>
      </c>
      <c r="C91" s="7" t="s">
        <v>73</v>
      </c>
      <c r="D91" s="7" t="s">
        <v>74</v>
      </c>
      <c r="E91" s="9" t="s">
        <v>37</v>
      </c>
      <c r="F91" s="9"/>
      <c r="G91" s="9"/>
      <c r="H91" s="10" t="str">
        <f aca="false">IF(F91="","",IF(F91&gt;=50,1,IF(F91&gt;=20,0.5,IF(F91&gt;=5,0.25,0))))</f>
        <v/>
      </c>
      <c r="I91" s="10" t="str">
        <f aca="false">IF(H91="","",IF(G91="Estimated",IF(H91=1,0.5,IF(H91=0.5,0.25,0)),H91))</f>
        <v/>
      </c>
      <c r="J91" s="7"/>
      <c r="K91" s="11"/>
      <c r="L91" s="9"/>
      <c r="M91" s="12"/>
      <c r="N91" s="11"/>
    </row>
    <row r="92" customFormat="false" ht="15" hidden="false" customHeight="true" outlineLevel="0" collapsed="false">
      <c r="A92" s="7" t="s">
        <v>13</v>
      </c>
      <c r="B92" s="8" t="n">
        <v>45443</v>
      </c>
      <c r="C92" s="7" t="s">
        <v>75</v>
      </c>
      <c r="D92" s="7" t="s">
        <v>76</v>
      </c>
      <c r="E92" s="9" t="s">
        <v>16</v>
      </c>
      <c r="F92" s="9"/>
      <c r="G92" s="9"/>
      <c r="H92" s="10" t="str">
        <f aca="false">IF(F92="","",IF(F92&gt;=50,1,IF(F92&gt;=20,0.5,IF(F92&gt;=5,0.25,0))))</f>
        <v/>
      </c>
      <c r="I92" s="10" t="str">
        <f aca="false">IF(H92="","",IF(G92="Estimated",IF(H92=1,0.5,IF(H92=0.5,0.25,0)),H92))</f>
        <v/>
      </c>
      <c r="J92" s="7"/>
      <c r="K92" s="11"/>
      <c r="L92" s="9"/>
      <c r="M92" s="12"/>
      <c r="N92" s="11"/>
    </row>
    <row r="93" customFormat="false" ht="15" hidden="false" customHeight="true" outlineLevel="0" collapsed="false">
      <c r="A93" s="7" t="s">
        <v>21</v>
      </c>
      <c r="B93" s="8" t="n">
        <v>45625</v>
      </c>
      <c r="C93" s="7" t="s">
        <v>75</v>
      </c>
      <c r="D93" s="7" t="s">
        <v>76</v>
      </c>
      <c r="E93" s="9" t="s">
        <v>22</v>
      </c>
      <c r="F93" s="9"/>
      <c r="G93" s="9"/>
      <c r="H93" s="10" t="str">
        <f aca="false">IF(F93="","",IF(F93&gt;=50,1,IF(F93&gt;=20,0.5,IF(F93&gt;=5,0.25,0))))</f>
        <v/>
      </c>
      <c r="I93" s="10" t="str">
        <f aca="false">IF(H93="","",IF(G93="Estimated",IF(H93=1,0.5,IF(H93=0.5,0.25,0)),H93))</f>
        <v/>
      </c>
      <c r="J93" s="7"/>
      <c r="K93" s="11"/>
      <c r="L93" s="9"/>
      <c r="M93" s="12"/>
      <c r="N93" s="11"/>
    </row>
    <row r="94" customFormat="false" ht="15" hidden="false" customHeight="true" outlineLevel="0" collapsed="false">
      <c r="A94" s="7" t="s">
        <v>26</v>
      </c>
      <c r="B94" s="8" t="n">
        <v>45807</v>
      </c>
      <c r="C94" s="7" t="s">
        <v>75</v>
      </c>
      <c r="D94" s="7" t="s">
        <v>76</v>
      </c>
      <c r="E94" s="9" t="s">
        <v>27</v>
      </c>
      <c r="F94" s="9"/>
      <c r="G94" s="9"/>
      <c r="H94" s="10" t="str">
        <f aca="false">IF(F94="","",IF(F94&gt;=50,1,IF(F94&gt;=20,0.5,IF(F94&gt;=5,0.25,0))))</f>
        <v/>
      </c>
      <c r="I94" s="10" t="str">
        <f aca="false">IF(H94="","",IF(G94="Estimated",IF(H94=1,0.5,IF(H94=0.5,0.25,0)),H94))</f>
        <v/>
      </c>
      <c r="J94" s="7"/>
      <c r="K94" s="11"/>
      <c r="L94" s="9"/>
      <c r="M94" s="12"/>
      <c r="N94" s="11"/>
    </row>
    <row r="95" customFormat="false" ht="15" hidden="false" customHeight="true" outlineLevel="0" collapsed="false">
      <c r="A95" s="7" t="s">
        <v>31</v>
      </c>
      <c r="B95" s="8" t="n">
        <v>45989</v>
      </c>
      <c r="C95" s="7" t="s">
        <v>75</v>
      </c>
      <c r="D95" s="7" t="s">
        <v>76</v>
      </c>
      <c r="E95" s="9" t="s">
        <v>32</v>
      </c>
      <c r="F95" s="9"/>
      <c r="G95" s="9"/>
      <c r="H95" s="10" t="str">
        <f aca="false">IF(F95="","",IF(F95&gt;=50,1,IF(F95&gt;=20,0.5,IF(F95&gt;=5,0.25,0))))</f>
        <v/>
      </c>
      <c r="I95" s="10" t="str">
        <f aca="false">IF(H95="","",IF(G95="Estimated",IF(H95=1,0.5,IF(H95=0.5,0.25,0)),H95))</f>
        <v/>
      </c>
      <c r="J95" s="7"/>
      <c r="K95" s="11"/>
      <c r="L95" s="9"/>
      <c r="M95" s="12"/>
      <c r="N95" s="11"/>
    </row>
    <row r="96" customFormat="false" ht="15" hidden="false" customHeight="true" outlineLevel="0" collapsed="false">
      <c r="A96" s="7" t="s">
        <v>36</v>
      </c>
      <c r="B96" s="8" t="n">
        <v>46171</v>
      </c>
      <c r="C96" s="7" t="s">
        <v>75</v>
      </c>
      <c r="D96" s="7" t="s">
        <v>76</v>
      </c>
      <c r="E96" s="9" t="s">
        <v>37</v>
      </c>
      <c r="F96" s="9"/>
      <c r="G96" s="9"/>
      <c r="H96" s="10" t="str">
        <f aca="false">IF(F96="","",IF(F96&gt;=50,1,IF(F96&gt;=20,0.5,IF(F96&gt;=5,0.25,0))))</f>
        <v/>
      </c>
      <c r="I96" s="10" t="str">
        <f aca="false">IF(H96="","",IF(G96="Estimated",IF(H96=1,0.5,IF(H96=0.5,0.25,0)),H96))</f>
        <v/>
      </c>
      <c r="J96" s="7"/>
      <c r="K96" s="11"/>
      <c r="L96" s="9"/>
      <c r="M96" s="12"/>
      <c r="N96" s="11"/>
    </row>
    <row r="97" customFormat="false" ht="15" hidden="false" customHeight="true" outlineLevel="0" collapsed="false">
      <c r="A97" s="7" t="s">
        <v>13</v>
      </c>
      <c r="B97" s="8" t="n">
        <v>45443</v>
      </c>
      <c r="C97" s="7" t="s">
        <v>77</v>
      </c>
      <c r="D97" s="7" t="s">
        <v>78</v>
      </c>
      <c r="E97" s="9" t="s">
        <v>16</v>
      </c>
      <c r="F97" s="9"/>
      <c r="G97" s="9"/>
      <c r="H97" s="10" t="str">
        <f aca="false">IF(F97="","",IF(F97&gt;=50,1,IF(F97&gt;=20,0.5,IF(F97&gt;=5,0.25,0))))</f>
        <v/>
      </c>
      <c r="I97" s="10" t="str">
        <f aca="false">IF(H97="","",IF(G97="Estimated",IF(H97=1,0.5,IF(H97=0.5,0.25,0)),H97))</f>
        <v/>
      </c>
      <c r="J97" s="7"/>
      <c r="K97" s="11"/>
      <c r="L97" s="9"/>
      <c r="M97" s="12"/>
      <c r="N97" s="11"/>
    </row>
    <row r="98" customFormat="false" ht="15" hidden="false" customHeight="true" outlineLevel="0" collapsed="false">
      <c r="A98" s="7" t="s">
        <v>21</v>
      </c>
      <c r="B98" s="8" t="n">
        <v>45625</v>
      </c>
      <c r="C98" s="7" t="s">
        <v>77</v>
      </c>
      <c r="D98" s="7" t="s">
        <v>78</v>
      </c>
      <c r="E98" s="9" t="s">
        <v>22</v>
      </c>
      <c r="F98" s="9"/>
      <c r="G98" s="9"/>
      <c r="H98" s="10" t="str">
        <f aca="false">IF(F98="","",IF(F98&gt;=50,1,IF(F98&gt;=20,0.5,IF(F98&gt;=5,0.25,0))))</f>
        <v/>
      </c>
      <c r="I98" s="10" t="str">
        <f aca="false">IF(H98="","",IF(G98="Estimated",IF(H98=1,0.5,IF(H98=0.5,0.25,0)),H98))</f>
        <v/>
      </c>
      <c r="J98" s="7"/>
      <c r="K98" s="11"/>
      <c r="L98" s="9"/>
      <c r="M98" s="12"/>
      <c r="N98" s="11"/>
    </row>
    <row r="99" customFormat="false" ht="15" hidden="false" customHeight="true" outlineLevel="0" collapsed="false">
      <c r="A99" s="7" t="s">
        <v>26</v>
      </c>
      <c r="B99" s="8" t="n">
        <v>45807</v>
      </c>
      <c r="C99" s="7" t="s">
        <v>77</v>
      </c>
      <c r="D99" s="7" t="s">
        <v>78</v>
      </c>
      <c r="E99" s="9" t="s">
        <v>27</v>
      </c>
      <c r="F99" s="9"/>
      <c r="G99" s="9"/>
      <c r="H99" s="10" t="str">
        <f aca="false">IF(F99="","",IF(F99&gt;=50,1,IF(F99&gt;=20,0.5,IF(F99&gt;=5,0.25,0))))</f>
        <v/>
      </c>
      <c r="I99" s="10" t="str">
        <f aca="false">IF(H99="","",IF(G99="Estimated",IF(H99=1,0.5,IF(H99=0.5,0.25,0)),H99))</f>
        <v/>
      </c>
      <c r="J99" s="7"/>
      <c r="K99" s="11"/>
      <c r="L99" s="9"/>
      <c r="M99" s="12"/>
      <c r="N99" s="11"/>
    </row>
    <row r="100" customFormat="false" ht="15" hidden="false" customHeight="true" outlineLevel="0" collapsed="false">
      <c r="A100" s="7" t="s">
        <v>31</v>
      </c>
      <c r="B100" s="8" t="n">
        <v>45989</v>
      </c>
      <c r="C100" s="7" t="s">
        <v>77</v>
      </c>
      <c r="D100" s="7" t="s">
        <v>78</v>
      </c>
      <c r="E100" s="9" t="s">
        <v>32</v>
      </c>
      <c r="F100" s="9"/>
      <c r="G100" s="9"/>
      <c r="H100" s="10" t="str">
        <f aca="false">IF(F100="","",IF(F100&gt;=50,1,IF(F100&gt;=20,0.5,IF(F100&gt;=5,0.25,0))))</f>
        <v/>
      </c>
      <c r="I100" s="10" t="str">
        <f aca="false">IF(H100="","",IF(G100="Estimated",IF(H100=1,0.5,IF(H100=0.5,0.25,0)),H100))</f>
        <v/>
      </c>
      <c r="J100" s="7"/>
      <c r="K100" s="11"/>
      <c r="L100" s="9"/>
      <c r="M100" s="12"/>
      <c r="N100" s="11"/>
    </row>
    <row r="101" customFormat="false" ht="15" hidden="false" customHeight="true" outlineLevel="0" collapsed="false">
      <c r="A101" s="7" t="s">
        <v>36</v>
      </c>
      <c r="B101" s="8" t="n">
        <v>46171</v>
      </c>
      <c r="C101" s="7" t="s">
        <v>77</v>
      </c>
      <c r="D101" s="7" t="s">
        <v>78</v>
      </c>
      <c r="E101" s="9" t="s">
        <v>37</v>
      </c>
      <c r="F101" s="9"/>
      <c r="G101" s="9"/>
      <c r="H101" s="10" t="str">
        <f aca="false">IF(F101="","",IF(F101&gt;=50,1,IF(F101&gt;=20,0.5,IF(F101&gt;=5,0.25,0))))</f>
        <v/>
      </c>
      <c r="I101" s="10" t="str">
        <f aca="false">IF(H101="","",IF(G101="Estimated",IF(H101=1,0.5,IF(H101=0.5,0.25,0)),H101))</f>
        <v/>
      </c>
      <c r="J101" s="7"/>
      <c r="K101" s="11"/>
      <c r="L101" s="9"/>
      <c r="M101" s="12"/>
      <c r="N101" s="11"/>
    </row>
    <row r="102" customFormat="false" ht="15" hidden="false" customHeight="true" outlineLevel="0" collapsed="false">
      <c r="A102" s="7" t="s">
        <v>13</v>
      </c>
      <c r="B102" s="8" t="n">
        <v>45443</v>
      </c>
      <c r="C102" s="7" t="s">
        <v>79</v>
      </c>
      <c r="D102" s="7" t="s">
        <v>80</v>
      </c>
      <c r="E102" s="9" t="s">
        <v>16</v>
      </c>
      <c r="F102" s="9"/>
      <c r="G102" s="9"/>
      <c r="H102" s="10" t="str">
        <f aca="false">IF(F102="","",IF(F102&gt;=50,1,IF(F102&gt;=20,0.5,IF(F102&gt;=5,0.25,0))))</f>
        <v/>
      </c>
      <c r="I102" s="10" t="str">
        <f aca="false">IF(H102="","",IF(G102="Estimated",IF(H102=1,0.5,IF(H102=0.5,0.25,0)),H102))</f>
        <v/>
      </c>
      <c r="J102" s="7"/>
      <c r="K102" s="11"/>
      <c r="L102" s="9"/>
      <c r="M102" s="12"/>
      <c r="N102" s="11"/>
    </row>
    <row r="103" customFormat="false" ht="15" hidden="false" customHeight="true" outlineLevel="0" collapsed="false">
      <c r="A103" s="7" t="s">
        <v>21</v>
      </c>
      <c r="B103" s="8" t="n">
        <v>45625</v>
      </c>
      <c r="C103" s="7" t="s">
        <v>79</v>
      </c>
      <c r="D103" s="7" t="s">
        <v>80</v>
      </c>
      <c r="E103" s="9" t="s">
        <v>22</v>
      </c>
      <c r="F103" s="9"/>
      <c r="G103" s="9"/>
      <c r="H103" s="10" t="str">
        <f aca="false">IF(F103="","",IF(F103&gt;=50,1,IF(F103&gt;=20,0.5,IF(F103&gt;=5,0.25,0))))</f>
        <v/>
      </c>
      <c r="I103" s="10" t="str">
        <f aca="false">IF(H103="","",IF(G103="Estimated",IF(H103=1,0.5,IF(H103=0.5,0.25,0)),H103))</f>
        <v/>
      </c>
      <c r="J103" s="7"/>
      <c r="K103" s="11"/>
      <c r="L103" s="9"/>
      <c r="M103" s="12"/>
      <c r="N103" s="11"/>
    </row>
    <row r="104" customFormat="false" ht="15" hidden="false" customHeight="true" outlineLevel="0" collapsed="false">
      <c r="A104" s="7" t="s">
        <v>26</v>
      </c>
      <c r="B104" s="8" t="n">
        <v>45807</v>
      </c>
      <c r="C104" s="7" t="s">
        <v>79</v>
      </c>
      <c r="D104" s="7" t="s">
        <v>80</v>
      </c>
      <c r="E104" s="9" t="s">
        <v>27</v>
      </c>
      <c r="F104" s="9"/>
      <c r="G104" s="9"/>
      <c r="H104" s="10" t="str">
        <f aca="false">IF(F104="","",IF(F104&gt;=50,1,IF(F104&gt;=20,0.5,IF(F104&gt;=5,0.25,0))))</f>
        <v/>
      </c>
      <c r="I104" s="10" t="str">
        <f aca="false">IF(H104="","",IF(G104="Estimated",IF(H104=1,0.5,IF(H104=0.5,0.25,0)),H104))</f>
        <v/>
      </c>
      <c r="J104" s="7"/>
      <c r="K104" s="11"/>
      <c r="L104" s="9"/>
      <c r="M104" s="12"/>
      <c r="N104" s="11"/>
    </row>
    <row r="105" customFormat="false" ht="15" hidden="false" customHeight="true" outlineLevel="0" collapsed="false">
      <c r="A105" s="7" t="s">
        <v>31</v>
      </c>
      <c r="B105" s="8" t="n">
        <v>45989</v>
      </c>
      <c r="C105" s="7" t="s">
        <v>79</v>
      </c>
      <c r="D105" s="7" t="s">
        <v>80</v>
      </c>
      <c r="E105" s="9" t="s">
        <v>32</v>
      </c>
      <c r="F105" s="9"/>
      <c r="G105" s="9"/>
      <c r="H105" s="10" t="str">
        <f aca="false">IF(F105="","",IF(F105&gt;=50,1,IF(F105&gt;=20,0.5,IF(F105&gt;=5,0.25,0))))</f>
        <v/>
      </c>
      <c r="I105" s="10" t="str">
        <f aca="false">IF(H105="","",IF(G105="Estimated",IF(H105=1,0.5,IF(H105=0.5,0.25,0)),H105))</f>
        <v/>
      </c>
      <c r="J105" s="7"/>
      <c r="K105" s="11"/>
      <c r="L105" s="9"/>
      <c r="M105" s="12"/>
      <c r="N105" s="11"/>
    </row>
    <row r="106" customFormat="false" ht="15" hidden="false" customHeight="true" outlineLevel="0" collapsed="false">
      <c r="A106" s="7" t="s">
        <v>36</v>
      </c>
      <c r="B106" s="8" t="n">
        <v>46171</v>
      </c>
      <c r="C106" s="7" t="s">
        <v>79</v>
      </c>
      <c r="D106" s="7" t="s">
        <v>80</v>
      </c>
      <c r="E106" s="9" t="s">
        <v>37</v>
      </c>
      <c r="F106" s="9"/>
      <c r="G106" s="9"/>
      <c r="H106" s="10" t="str">
        <f aca="false">IF(F106="","",IF(F106&gt;=50,1,IF(F106&gt;=20,0.5,IF(F106&gt;=5,0.25,0))))</f>
        <v/>
      </c>
      <c r="I106" s="10" t="str">
        <f aca="false">IF(H106="","",IF(G106="Estimated",IF(H106=1,0.5,IF(H106=0.5,0.25,0)),H106))</f>
        <v/>
      </c>
      <c r="J106" s="7"/>
      <c r="K106" s="11"/>
      <c r="L106" s="9"/>
      <c r="M106" s="12"/>
      <c r="N106" s="11"/>
    </row>
    <row r="107" customFormat="false" ht="15" hidden="false" customHeight="true" outlineLevel="0" collapsed="false">
      <c r="A107" s="7" t="s">
        <v>13</v>
      </c>
      <c r="B107" s="8" t="n">
        <v>45443</v>
      </c>
      <c r="C107" s="7" t="s">
        <v>81</v>
      </c>
      <c r="D107" s="7" t="s">
        <v>82</v>
      </c>
      <c r="E107" s="9" t="s">
        <v>16</v>
      </c>
      <c r="F107" s="9"/>
      <c r="G107" s="9"/>
      <c r="H107" s="10" t="str">
        <f aca="false">IF(F107="","",IF(F107&gt;=50,1,IF(F107&gt;=20,0.5,IF(F107&gt;=5,0.25,0))))</f>
        <v/>
      </c>
      <c r="I107" s="10" t="str">
        <f aca="false">IF(H107="","",IF(G107="Estimated",IF(H107=1,0.5,IF(H107=0.5,0.25,0)),H107))</f>
        <v/>
      </c>
      <c r="J107" s="7"/>
      <c r="K107" s="11"/>
      <c r="L107" s="9"/>
      <c r="M107" s="12"/>
      <c r="N107" s="11"/>
    </row>
    <row r="108" customFormat="false" ht="15" hidden="false" customHeight="true" outlineLevel="0" collapsed="false">
      <c r="A108" s="7" t="s">
        <v>21</v>
      </c>
      <c r="B108" s="8" t="n">
        <v>45625</v>
      </c>
      <c r="C108" s="7" t="s">
        <v>81</v>
      </c>
      <c r="D108" s="7" t="s">
        <v>82</v>
      </c>
      <c r="E108" s="9" t="s">
        <v>22</v>
      </c>
      <c r="F108" s="9"/>
      <c r="G108" s="9"/>
      <c r="H108" s="10" t="str">
        <f aca="false">IF(F108="","",IF(F108&gt;=50,1,IF(F108&gt;=20,0.5,IF(F108&gt;=5,0.25,0))))</f>
        <v/>
      </c>
      <c r="I108" s="10" t="str">
        <f aca="false">IF(H108="","",IF(G108="Estimated",IF(H108=1,0.5,IF(H108=0.5,0.25,0)),H108))</f>
        <v/>
      </c>
      <c r="J108" s="7"/>
      <c r="K108" s="11"/>
      <c r="L108" s="9"/>
      <c r="M108" s="12"/>
      <c r="N108" s="11"/>
    </row>
    <row r="109" customFormat="false" ht="15" hidden="false" customHeight="true" outlineLevel="0" collapsed="false">
      <c r="A109" s="7" t="s">
        <v>26</v>
      </c>
      <c r="B109" s="8" t="n">
        <v>45807</v>
      </c>
      <c r="C109" s="7" t="s">
        <v>81</v>
      </c>
      <c r="D109" s="7" t="s">
        <v>82</v>
      </c>
      <c r="E109" s="9" t="s">
        <v>27</v>
      </c>
      <c r="F109" s="9"/>
      <c r="G109" s="9"/>
      <c r="H109" s="10" t="str">
        <f aca="false">IF(F109="","",IF(F109&gt;=50,1,IF(F109&gt;=20,0.5,IF(F109&gt;=5,0.25,0))))</f>
        <v/>
      </c>
      <c r="I109" s="10" t="str">
        <f aca="false">IF(H109="","",IF(G109="Estimated",IF(H109=1,0.5,IF(H109=0.5,0.25,0)),H109))</f>
        <v/>
      </c>
      <c r="J109" s="7"/>
      <c r="K109" s="11"/>
      <c r="L109" s="9"/>
      <c r="M109" s="12"/>
      <c r="N109" s="11"/>
    </row>
    <row r="110" customFormat="false" ht="15" hidden="false" customHeight="true" outlineLevel="0" collapsed="false">
      <c r="A110" s="7" t="s">
        <v>31</v>
      </c>
      <c r="B110" s="8" t="n">
        <v>45989</v>
      </c>
      <c r="C110" s="7" t="s">
        <v>81</v>
      </c>
      <c r="D110" s="7" t="s">
        <v>82</v>
      </c>
      <c r="E110" s="9" t="s">
        <v>32</v>
      </c>
      <c r="F110" s="9"/>
      <c r="G110" s="9"/>
      <c r="H110" s="10" t="str">
        <f aca="false">IF(F110="","",IF(F110&gt;=50,1,IF(F110&gt;=20,0.5,IF(F110&gt;=5,0.25,0))))</f>
        <v/>
      </c>
      <c r="I110" s="10" t="str">
        <f aca="false">IF(H110="","",IF(G110="Estimated",IF(H110=1,0.5,IF(H110=0.5,0.25,0)),H110))</f>
        <v/>
      </c>
      <c r="J110" s="7"/>
      <c r="K110" s="11"/>
      <c r="L110" s="9"/>
      <c r="M110" s="12"/>
      <c r="N110" s="11"/>
    </row>
    <row r="111" customFormat="false" ht="15" hidden="false" customHeight="true" outlineLevel="0" collapsed="false">
      <c r="A111" s="7" t="s">
        <v>36</v>
      </c>
      <c r="B111" s="8" t="n">
        <v>46171</v>
      </c>
      <c r="C111" s="7" t="s">
        <v>81</v>
      </c>
      <c r="D111" s="7" t="s">
        <v>82</v>
      </c>
      <c r="E111" s="9" t="s">
        <v>37</v>
      </c>
      <c r="F111" s="9"/>
      <c r="G111" s="9"/>
      <c r="H111" s="10" t="str">
        <f aca="false">IF(F111="","",IF(F111&gt;=50,1,IF(F111&gt;=20,0.5,IF(F111&gt;=5,0.25,0))))</f>
        <v/>
      </c>
      <c r="I111" s="10" t="str">
        <f aca="false">IF(H111="","",IF(G111="Estimated",IF(H111=1,0.5,IF(H111=0.5,0.25,0)),H111))</f>
        <v/>
      </c>
      <c r="J111" s="7"/>
      <c r="K111" s="11"/>
      <c r="L111" s="9"/>
      <c r="M111" s="12"/>
      <c r="N111" s="11"/>
    </row>
    <row r="112" customFormat="false" ht="15" hidden="false" customHeight="true" outlineLevel="0" collapsed="false">
      <c r="A112" s="7" t="s">
        <v>13</v>
      </c>
      <c r="B112" s="8" t="n">
        <v>45443</v>
      </c>
      <c r="C112" s="7" t="s">
        <v>83</v>
      </c>
      <c r="D112" s="7" t="s">
        <v>84</v>
      </c>
      <c r="E112" s="9" t="s">
        <v>16</v>
      </c>
      <c r="F112" s="9"/>
      <c r="G112" s="9"/>
      <c r="H112" s="10" t="str">
        <f aca="false">IF(F112="","",IF(F112&gt;=50,1,IF(F112&gt;=20,0.5,IF(F112&gt;=5,0.25,0))))</f>
        <v/>
      </c>
      <c r="I112" s="10" t="str">
        <f aca="false">IF(H112="","",IF(G112="Estimated",IF(H112=1,0.5,IF(H112=0.5,0.25,0)),H112))</f>
        <v/>
      </c>
      <c r="J112" s="7"/>
      <c r="K112" s="11"/>
      <c r="L112" s="9"/>
      <c r="M112" s="12"/>
      <c r="N112" s="11"/>
    </row>
    <row r="113" customFormat="false" ht="15" hidden="false" customHeight="true" outlineLevel="0" collapsed="false">
      <c r="A113" s="7" t="s">
        <v>21</v>
      </c>
      <c r="B113" s="8" t="n">
        <v>45625</v>
      </c>
      <c r="C113" s="7" t="s">
        <v>83</v>
      </c>
      <c r="D113" s="7" t="s">
        <v>84</v>
      </c>
      <c r="E113" s="9" t="s">
        <v>22</v>
      </c>
      <c r="F113" s="9"/>
      <c r="G113" s="9"/>
      <c r="H113" s="10" t="str">
        <f aca="false">IF(F113="","",IF(F113&gt;=50,1,IF(F113&gt;=20,0.5,IF(F113&gt;=5,0.25,0))))</f>
        <v/>
      </c>
      <c r="I113" s="10" t="str">
        <f aca="false">IF(H113="","",IF(G113="Estimated",IF(H113=1,0.5,IF(H113=0.5,0.25,0)),H113))</f>
        <v/>
      </c>
      <c r="J113" s="7"/>
      <c r="K113" s="11"/>
      <c r="L113" s="9"/>
      <c r="M113" s="12"/>
      <c r="N113" s="11"/>
    </row>
    <row r="114" customFormat="false" ht="15" hidden="false" customHeight="true" outlineLevel="0" collapsed="false">
      <c r="A114" s="7" t="s">
        <v>26</v>
      </c>
      <c r="B114" s="8" t="n">
        <v>45807</v>
      </c>
      <c r="C114" s="7" t="s">
        <v>83</v>
      </c>
      <c r="D114" s="7" t="s">
        <v>84</v>
      </c>
      <c r="E114" s="9" t="s">
        <v>27</v>
      </c>
      <c r="F114" s="9"/>
      <c r="G114" s="9"/>
      <c r="H114" s="10" t="str">
        <f aca="false">IF(F114="","",IF(F114&gt;=50,1,IF(F114&gt;=20,0.5,IF(F114&gt;=5,0.25,0))))</f>
        <v/>
      </c>
      <c r="I114" s="10" t="str">
        <f aca="false">IF(H114="","",IF(G114="Estimated",IF(H114=1,0.5,IF(H114=0.5,0.25,0)),H114))</f>
        <v/>
      </c>
      <c r="J114" s="7"/>
      <c r="K114" s="11"/>
      <c r="L114" s="9"/>
      <c r="M114" s="12"/>
      <c r="N114" s="11"/>
    </row>
    <row r="115" customFormat="false" ht="15" hidden="false" customHeight="true" outlineLevel="0" collapsed="false">
      <c r="A115" s="7" t="s">
        <v>31</v>
      </c>
      <c r="B115" s="8" t="n">
        <v>45989</v>
      </c>
      <c r="C115" s="7" t="s">
        <v>83</v>
      </c>
      <c r="D115" s="7" t="s">
        <v>84</v>
      </c>
      <c r="E115" s="9" t="s">
        <v>32</v>
      </c>
      <c r="F115" s="9"/>
      <c r="G115" s="9"/>
      <c r="H115" s="10" t="str">
        <f aca="false">IF(F115="","",IF(F115&gt;=50,1,IF(F115&gt;=20,0.5,IF(F115&gt;=5,0.25,0))))</f>
        <v/>
      </c>
      <c r="I115" s="10" t="str">
        <f aca="false">IF(H115="","",IF(G115="Estimated",IF(H115=1,0.5,IF(H115=0.5,0.25,0)),H115))</f>
        <v/>
      </c>
      <c r="J115" s="7"/>
      <c r="K115" s="11"/>
      <c r="L115" s="9"/>
      <c r="M115" s="12"/>
      <c r="N115" s="11"/>
    </row>
    <row r="116" customFormat="false" ht="15" hidden="false" customHeight="true" outlineLevel="0" collapsed="false">
      <c r="A116" s="7" t="s">
        <v>36</v>
      </c>
      <c r="B116" s="8" t="n">
        <v>46171</v>
      </c>
      <c r="C116" s="7" t="s">
        <v>83</v>
      </c>
      <c r="D116" s="7" t="s">
        <v>84</v>
      </c>
      <c r="E116" s="9" t="s">
        <v>37</v>
      </c>
      <c r="F116" s="9"/>
      <c r="G116" s="9"/>
      <c r="H116" s="10" t="str">
        <f aca="false">IF(F116="","",IF(F116&gt;=50,1,IF(F116&gt;=20,0.5,IF(F116&gt;=5,0.25,0))))</f>
        <v/>
      </c>
      <c r="I116" s="10" t="str">
        <f aca="false">IF(H116="","",IF(G116="Estimated",IF(H116=1,0.5,IF(H116=0.5,0.25,0)),H116))</f>
        <v/>
      </c>
      <c r="J116" s="7"/>
      <c r="K116" s="11"/>
      <c r="L116" s="9"/>
      <c r="M116" s="12"/>
      <c r="N116" s="11"/>
    </row>
    <row r="117" customFormat="false" ht="15" hidden="false" customHeight="true" outlineLevel="0" collapsed="false">
      <c r="A117" s="7" t="s">
        <v>13</v>
      </c>
      <c r="B117" s="8" t="n">
        <v>45443</v>
      </c>
      <c r="C117" s="7" t="s">
        <v>85</v>
      </c>
      <c r="D117" s="7" t="s">
        <v>86</v>
      </c>
      <c r="E117" s="9" t="s">
        <v>16</v>
      </c>
      <c r="F117" s="9"/>
      <c r="G117" s="9"/>
      <c r="H117" s="10" t="str">
        <f aca="false">IF(F117="","",IF(F117&gt;=50,1,IF(F117&gt;=20,0.5,IF(F117&gt;=5,0.25,0))))</f>
        <v/>
      </c>
      <c r="I117" s="10" t="str">
        <f aca="false">IF(H117="","",IF(G117="Estimated",IF(H117=1,0.5,IF(H117=0.5,0.25,0)),H117))</f>
        <v/>
      </c>
      <c r="J117" s="7"/>
      <c r="K117" s="11"/>
      <c r="L117" s="9"/>
      <c r="M117" s="12"/>
      <c r="N117" s="11"/>
    </row>
    <row r="118" customFormat="false" ht="15" hidden="false" customHeight="true" outlineLevel="0" collapsed="false">
      <c r="A118" s="7" t="s">
        <v>21</v>
      </c>
      <c r="B118" s="8" t="n">
        <v>45625</v>
      </c>
      <c r="C118" s="7" t="s">
        <v>85</v>
      </c>
      <c r="D118" s="7" t="s">
        <v>86</v>
      </c>
      <c r="E118" s="9" t="s">
        <v>22</v>
      </c>
      <c r="F118" s="9"/>
      <c r="G118" s="9"/>
      <c r="H118" s="10" t="str">
        <f aca="false">IF(F118="","",IF(F118&gt;=50,1,IF(F118&gt;=20,0.5,IF(F118&gt;=5,0.25,0))))</f>
        <v/>
      </c>
      <c r="I118" s="10" t="str">
        <f aca="false">IF(H118="","",IF(G118="Estimated",IF(H118=1,0.5,IF(H118=0.5,0.25,0)),H118))</f>
        <v/>
      </c>
      <c r="J118" s="7"/>
      <c r="K118" s="11"/>
      <c r="L118" s="9"/>
      <c r="M118" s="12"/>
      <c r="N118" s="11"/>
    </row>
    <row r="119" customFormat="false" ht="15" hidden="false" customHeight="true" outlineLevel="0" collapsed="false">
      <c r="A119" s="7" t="s">
        <v>26</v>
      </c>
      <c r="B119" s="8" t="n">
        <v>45807</v>
      </c>
      <c r="C119" s="7" t="s">
        <v>85</v>
      </c>
      <c r="D119" s="7" t="s">
        <v>86</v>
      </c>
      <c r="E119" s="9" t="s">
        <v>27</v>
      </c>
      <c r="F119" s="9"/>
      <c r="G119" s="9"/>
      <c r="H119" s="10" t="str">
        <f aca="false">IF(F119="","",IF(F119&gt;=50,1,IF(F119&gt;=20,0.5,IF(F119&gt;=5,0.25,0))))</f>
        <v/>
      </c>
      <c r="I119" s="10" t="str">
        <f aca="false">IF(H119="","",IF(G119="Estimated",IF(H119=1,0.5,IF(H119=0.5,0.25,0)),H119))</f>
        <v/>
      </c>
      <c r="J119" s="7"/>
      <c r="K119" s="11"/>
      <c r="L119" s="9"/>
      <c r="M119" s="12"/>
      <c r="N119" s="11"/>
    </row>
    <row r="120" customFormat="false" ht="15" hidden="false" customHeight="true" outlineLevel="0" collapsed="false">
      <c r="A120" s="7" t="s">
        <v>31</v>
      </c>
      <c r="B120" s="8" t="n">
        <v>45989</v>
      </c>
      <c r="C120" s="7" t="s">
        <v>85</v>
      </c>
      <c r="D120" s="7" t="s">
        <v>86</v>
      </c>
      <c r="E120" s="9" t="s">
        <v>32</v>
      </c>
      <c r="F120" s="9"/>
      <c r="G120" s="9"/>
      <c r="H120" s="10" t="str">
        <f aca="false">IF(F120="","",IF(F120&gt;=50,1,IF(F120&gt;=20,0.5,IF(F120&gt;=5,0.25,0))))</f>
        <v/>
      </c>
      <c r="I120" s="10" t="str">
        <f aca="false">IF(H120="","",IF(G120="Estimated",IF(H120=1,0.5,IF(H120=0.5,0.25,0)),H120))</f>
        <v/>
      </c>
      <c r="J120" s="7"/>
      <c r="K120" s="11"/>
      <c r="L120" s="9"/>
      <c r="M120" s="12"/>
      <c r="N120" s="11"/>
    </row>
    <row r="121" customFormat="false" ht="15" hidden="false" customHeight="true" outlineLevel="0" collapsed="false">
      <c r="A121" s="7" t="s">
        <v>36</v>
      </c>
      <c r="B121" s="8" t="n">
        <v>46171</v>
      </c>
      <c r="C121" s="7" t="s">
        <v>85</v>
      </c>
      <c r="D121" s="7" t="s">
        <v>86</v>
      </c>
      <c r="E121" s="9" t="s">
        <v>37</v>
      </c>
      <c r="F121" s="9"/>
      <c r="G121" s="9"/>
      <c r="H121" s="10" t="str">
        <f aca="false">IF(F121="","",IF(F121&gt;=50,1,IF(F121&gt;=20,0.5,IF(F121&gt;=5,0.25,0))))</f>
        <v/>
      </c>
      <c r="I121" s="10" t="str">
        <f aca="false">IF(H121="","",IF(G121="Estimated",IF(H121=1,0.5,IF(H121=0.5,0.25,0)),H121))</f>
        <v/>
      </c>
      <c r="J121" s="7"/>
      <c r="K121" s="11"/>
      <c r="L121" s="9"/>
      <c r="M121" s="12"/>
      <c r="N121" s="11"/>
    </row>
    <row r="122" customFormat="false" ht="15" hidden="false" customHeight="true" outlineLevel="0" collapsed="false">
      <c r="A122" s="7" t="s">
        <v>13</v>
      </c>
      <c r="B122" s="8" t="n">
        <v>45443</v>
      </c>
      <c r="C122" s="7" t="s">
        <v>87</v>
      </c>
      <c r="D122" s="7" t="s">
        <v>88</v>
      </c>
      <c r="E122" s="9" t="s">
        <v>16</v>
      </c>
      <c r="F122" s="9"/>
      <c r="G122" s="9"/>
      <c r="H122" s="10" t="str">
        <f aca="false">IF(F122="","",IF(F122&gt;=50,1,IF(F122&gt;=20,0.5,IF(F122&gt;=5,0.25,0))))</f>
        <v/>
      </c>
      <c r="I122" s="10" t="str">
        <f aca="false">IF(H122="","",IF(G122="Estimated",IF(H122=1,0.5,IF(H122=0.5,0.25,0)),H122))</f>
        <v/>
      </c>
      <c r="J122" s="7"/>
      <c r="K122" s="11"/>
      <c r="L122" s="9"/>
      <c r="M122" s="12"/>
      <c r="N122" s="11"/>
    </row>
    <row r="123" customFormat="false" ht="15" hidden="false" customHeight="true" outlineLevel="0" collapsed="false">
      <c r="A123" s="7" t="s">
        <v>21</v>
      </c>
      <c r="B123" s="8" t="n">
        <v>45625</v>
      </c>
      <c r="C123" s="7" t="s">
        <v>87</v>
      </c>
      <c r="D123" s="7" t="s">
        <v>88</v>
      </c>
      <c r="E123" s="9" t="s">
        <v>22</v>
      </c>
      <c r="F123" s="9"/>
      <c r="G123" s="9"/>
      <c r="H123" s="10" t="str">
        <f aca="false">IF(F123="","",IF(F123&gt;=50,1,IF(F123&gt;=20,0.5,IF(F123&gt;=5,0.25,0))))</f>
        <v/>
      </c>
      <c r="I123" s="10" t="str">
        <f aca="false">IF(H123="","",IF(G123="Estimated",IF(H123=1,0.5,IF(H123=0.5,0.25,0)),H123))</f>
        <v/>
      </c>
      <c r="J123" s="7"/>
      <c r="K123" s="11"/>
      <c r="L123" s="9"/>
      <c r="M123" s="12"/>
      <c r="N123" s="11"/>
    </row>
    <row r="124" customFormat="false" ht="15" hidden="false" customHeight="true" outlineLevel="0" collapsed="false">
      <c r="A124" s="7" t="s">
        <v>26</v>
      </c>
      <c r="B124" s="8" t="n">
        <v>45807</v>
      </c>
      <c r="C124" s="7" t="s">
        <v>87</v>
      </c>
      <c r="D124" s="7" t="s">
        <v>88</v>
      </c>
      <c r="E124" s="9" t="s">
        <v>27</v>
      </c>
      <c r="F124" s="9"/>
      <c r="G124" s="9"/>
      <c r="H124" s="10" t="str">
        <f aca="false">IF(F124="","",IF(F124&gt;=50,1,IF(F124&gt;=20,0.5,IF(F124&gt;=5,0.25,0))))</f>
        <v/>
      </c>
      <c r="I124" s="10" t="str">
        <f aca="false">IF(H124="","",IF(G124="Estimated",IF(H124=1,0.5,IF(H124=0.5,0.25,0)),H124))</f>
        <v/>
      </c>
      <c r="J124" s="7"/>
      <c r="K124" s="11"/>
      <c r="L124" s="9"/>
      <c r="M124" s="12"/>
      <c r="N124" s="11"/>
    </row>
    <row r="125" customFormat="false" ht="15" hidden="false" customHeight="true" outlineLevel="0" collapsed="false">
      <c r="A125" s="7" t="s">
        <v>31</v>
      </c>
      <c r="B125" s="8" t="n">
        <v>45989</v>
      </c>
      <c r="C125" s="7" t="s">
        <v>87</v>
      </c>
      <c r="D125" s="7" t="s">
        <v>88</v>
      </c>
      <c r="E125" s="9" t="s">
        <v>32</v>
      </c>
      <c r="F125" s="9"/>
      <c r="G125" s="9"/>
      <c r="H125" s="10" t="str">
        <f aca="false">IF(F125="","",IF(F125&gt;=50,1,IF(F125&gt;=20,0.5,IF(F125&gt;=5,0.25,0))))</f>
        <v/>
      </c>
      <c r="I125" s="10" t="str">
        <f aca="false">IF(H125="","",IF(G125="Estimated",IF(H125=1,0.5,IF(H125=0.5,0.25,0)),H125))</f>
        <v/>
      </c>
      <c r="J125" s="7"/>
      <c r="K125" s="11"/>
      <c r="L125" s="9"/>
      <c r="M125" s="12"/>
      <c r="N125" s="11"/>
    </row>
    <row r="126" customFormat="false" ht="15" hidden="false" customHeight="true" outlineLevel="0" collapsed="false">
      <c r="A126" s="7" t="s">
        <v>36</v>
      </c>
      <c r="B126" s="8" t="n">
        <v>46171</v>
      </c>
      <c r="C126" s="7" t="s">
        <v>87</v>
      </c>
      <c r="D126" s="7" t="s">
        <v>88</v>
      </c>
      <c r="E126" s="9" t="s">
        <v>37</v>
      </c>
      <c r="F126" s="9"/>
      <c r="G126" s="9"/>
      <c r="H126" s="10" t="str">
        <f aca="false">IF(F126="","",IF(F126&gt;=50,1,IF(F126&gt;=20,0.5,IF(F126&gt;=5,0.25,0))))</f>
        <v/>
      </c>
      <c r="I126" s="10" t="str">
        <f aca="false">IF(H126="","",IF(G126="Estimated",IF(H126=1,0.5,IF(H126=0.5,0.25,0)),H126))</f>
        <v/>
      </c>
      <c r="J126" s="7"/>
      <c r="K126" s="11"/>
      <c r="L126" s="9"/>
      <c r="M126" s="12"/>
      <c r="N126" s="11"/>
    </row>
  </sheetData>
  <autoFilter ref="A1:N126"/>
  <dataValidations count="1">
    <dataValidation allowBlank="true" errorStyle="stop" operator="between" showDropDown="false" showErrorMessage="false" showInputMessage="false" sqref="G2:G126" type="list">
      <formula1>"Reported,Derived,Estimated"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13" t="s">
        <v>89</v>
      </c>
    </row>
    <row r="2" customFormat="false" ht="15" hidden="false" customHeight="true" outlineLevel="0" collapsed="false">
      <c r="A2" s="14"/>
    </row>
    <row r="3" customFormat="false" ht="15" hidden="false" customHeight="true" outlineLevel="0" collapsed="false">
      <c r="A3" s="15" t="s">
        <v>90</v>
      </c>
    </row>
    <row r="4" customFormat="false" ht="26.25" hidden="false" customHeight="true" outlineLevel="0" collapsed="false">
      <c r="A4" s="14" t="s">
        <v>91</v>
      </c>
    </row>
    <row r="5" customFormat="false" ht="15" hidden="false" customHeight="true" outlineLevel="0" collapsed="false">
      <c r="A5" s="14"/>
    </row>
    <row r="6" customFormat="false" ht="15" hidden="false" customHeight="true" outlineLevel="0" collapsed="false">
      <c r="A6" s="15" t="s">
        <v>92</v>
      </c>
    </row>
    <row r="7" customFormat="false" ht="15" hidden="false" customHeight="true" outlineLevel="0" collapsed="false">
      <c r="A7" s="14" t="s">
        <v>93</v>
      </c>
    </row>
    <row r="8" customFormat="false" ht="15" hidden="false" customHeight="true" outlineLevel="0" collapsed="false">
      <c r="A8" s="14" t="s">
        <v>94</v>
      </c>
    </row>
    <row r="9" customFormat="false" ht="15" hidden="false" customHeight="true" outlineLevel="0" collapsed="false">
      <c r="A9" s="14" t="s">
        <v>95</v>
      </c>
    </row>
    <row r="10" customFormat="false" ht="15" hidden="false" customHeight="true" outlineLevel="0" collapsed="false">
      <c r="A10" s="14" t="s">
        <v>96</v>
      </c>
    </row>
    <row r="11" customFormat="false" ht="15" hidden="false" customHeight="true" outlineLevel="0" collapsed="false">
      <c r="A11" s="14" t="s">
        <v>97</v>
      </c>
    </row>
    <row r="12" customFormat="false" ht="15" hidden="false" customHeight="true" outlineLevel="0" collapsed="false">
      <c r="A12" s="14" t="s">
        <v>98</v>
      </c>
    </row>
    <row r="13" customFormat="false" ht="15" hidden="false" customHeight="true" outlineLevel="0" collapsed="false">
      <c r="A13" s="14" t="s">
        <v>99</v>
      </c>
    </row>
    <row r="14" customFormat="false" ht="15" hidden="false" customHeight="true" outlineLevel="0" collapsed="false">
      <c r="A14" s="14"/>
    </row>
    <row r="15" customFormat="false" ht="15" hidden="false" customHeight="true" outlineLevel="0" collapsed="false">
      <c r="A15" s="15" t="s">
        <v>100</v>
      </c>
    </row>
    <row r="16" customFormat="false" ht="15" hidden="false" customHeight="true" outlineLevel="0" collapsed="false">
      <c r="A16" s="14" t="s">
        <v>101</v>
      </c>
    </row>
    <row r="17" customFormat="false" ht="15" hidden="false" customHeight="true" outlineLevel="0" collapsed="false">
      <c r="A17" s="14" t="s">
        <v>102</v>
      </c>
    </row>
    <row r="18" customFormat="false" ht="15" hidden="false" customHeight="true" outlineLevel="0" collapsed="false">
      <c r="A18" s="14"/>
    </row>
    <row r="19" customFormat="false" ht="15" hidden="false" customHeight="true" outlineLevel="0" collapsed="false">
      <c r="A19" s="15" t="s">
        <v>103</v>
      </c>
    </row>
    <row r="20" customFormat="false" ht="15" hidden="false" customHeight="true" outlineLevel="0" collapsed="false">
      <c r="A20" s="14" t="s">
        <v>104</v>
      </c>
    </row>
    <row r="21" customFormat="false" ht="15" hidden="false" customHeight="true" outlineLevel="0" collapsed="false">
      <c r="A21" s="14" t="s">
        <v>105</v>
      </c>
    </row>
    <row r="22" customFormat="false" ht="15" hidden="false" customHeight="true" outlineLevel="0" collapsed="false">
      <c r="A22" s="14" t="s">
        <v>106</v>
      </c>
    </row>
    <row r="23" customFormat="false" ht="15" hidden="false" customHeight="true" outlineLevel="0" collapsed="false">
      <c r="A23" s="14"/>
    </row>
    <row r="24" customFormat="false" ht="15" hidden="false" customHeight="true" outlineLevel="0" collapsed="false">
      <c r="A24" s="15" t="s">
        <v>107</v>
      </c>
    </row>
    <row r="25" customFormat="false" ht="15" hidden="false" customHeight="true" outlineLevel="0" collapsed="false">
      <c r="A25" s="14" t="s">
        <v>108</v>
      </c>
    </row>
    <row r="26" customFormat="false" ht="15" hidden="false" customHeight="true" outlineLevel="0" collapsed="false">
      <c r="A26" s="14" t="s">
        <v>109</v>
      </c>
    </row>
    <row r="27" customFormat="false" ht="15" hidden="false" customHeight="true" outlineLevel="0" collapsed="false">
      <c r="A27" s="14" t="s">
        <v>110</v>
      </c>
    </row>
    <row r="28" customFormat="false" ht="15" hidden="false" customHeight="true" outlineLevel="0" collapsed="false">
      <c r="A28" s="14" t="s">
        <v>111</v>
      </c>
    </row>
    <row r="29" customFormat="false" ht="15" hidden="false" customHeight="true" outlineLevel="0" collapsed="false">
      <c r="A29" s="14"/>
    </row>
    <row r="30" customFormat="false" ht="15" hidden="false" customHeight="true" outlineLevel="0" collapsed="false">
      <c r="A30" s="15" t="s">
        <v>112</v>
      </c>
    </row>
    <row r="31" customFormat="false" ht="26.25" hidden="false" customHeight="true" outlineLevel="0" collapsed="false">
      <c r="A31" s="14" t="s">
        <v>113</v>
      </c>
    </row>
    <row r="32" customFormat="false" ht="15" hidden="false" customHeight="true" outlineLevel="0" collapsed="false">
      <c r="A32" s="14"/>
    </row>
    <row r="33" customFormat="false" ht="15" hidden="false" customHeight="true" outlineLevel="0" collapsed="false">
      <c r="A33" s="15" t="s">
        <v>114</v>
      </c>
    </row>
    <row r="34" customFormat="false" ht="15" hidden="false" customHeight="true" outlineLevel="0" collapsed="false">
      <c r="A34" s="1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2026-10-12T09:06:11Z</dcterms:created>
  <dc:creator>openpyxl</dc:creator>
  <dc:description/>
  <dc:language>en-US</dc:language>
  <cp:lastModifiedBy/>
  <dcterms:modified xsi:type="dcterms:W3CDTF">2026-10-12T12:04:10Z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