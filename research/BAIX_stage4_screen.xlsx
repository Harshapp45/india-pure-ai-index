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sha Patyal\Desktop\AI Index\"/>
    </mc:Choice>
  </mc:AlternateContent>
  <xr:revisionPtr revIDLastSave="0" documentId="8_{9B851763-A0F1-49D3-817F-490E5A55DC5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age 4 screen" sheetId="1" r:id="rId1"/>
  </sheets>
  <definedNames>
    <definedName name="_xlnm._FilterDatabase" localSheetId="0" hidden="1">'Stage 4 screen'!$A$1:$M$53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8" i="1" l="1"/>
  <c r="F57" i="1"/>
  <c r="F56" i="1"/>
  <c r="F55" i="1"/>
</calcChain>
</file>

<file path=xl/sharedStrings.xml><?xml version="1.0" encoding="utf-8"?>
<sst xmlns="http://schemas.openxmlformats.org/spreadsheetml/2006/main" count="482" uniqueCount="305">
  <si>
    <t>#</t>
  </si>
  <si>
    <t>Symbol</t>
  </si>
  <si>
    <t>Company</t>
  </si>
  <si>
    <t>Industry</t>
  </si>
  <si>
    <t>Batch</t>
  </si>
  <si>
    <t>Stage 4 result</t>
  </si>
  <si>
    <t>AI evidence found</t>
  </si>
  <si>
    <t>AI revenue quantified?</t>
  </si>
  <si>
    <t>Listing note</t>
  </si>
  <si>
    <t>Source</t>
  </si>
  <si>
    <t>Source date</t>
  </si>
  <si>
    <t>Notes / next action</t>
  </si>
  <si>
    <t>Your check (2 per batch)</t>
  </si>
  <si>
    <t>AFFLE</t>
  </si>
  <si>
    <t>Affle 3i Ltd.</t>
  </si>
  <si>
    <t>Information Technology</t>
  </si>
  <si>
    <t>FAIL (for now)</t>
  </si>
  <si>
    <t>'AI-led' mobile adtech; no AI revenue split (CPCU is the business model, not AI)</t>
  </si>
  <si>
    <t>No</t>
  </si>
  <si>
    <t>Affle Q2 FY26 press release</t>
  </si>
  <si>
    <t>2025-11-01</t>
  </si>
  <si>
    <t>Rule 5d: AI powers the product, but revenue is advertising, not AI revenue. Recheck if the company starts labelling AI revenue.</t>
  </si>
  <si>
    <t>AMAGI</t>
  </si>
  <si>
    <t>Amagi Media Labs Ltd.</t>
  </si>
  <si>
    <t>Cloud SaaS for broadcast/streaming; 'Amagi Intelligence' mentioned without figures</t>
  </si>
  <si>
    <t>Listed Jan-2026</t>
  </si>
  <si>
    <t>Vitrina / IPO coverage</t>
  </si>
  <si>
    <t>2026-01</t>
  </si>
  <si>
    <t>Not eligible until Jul-2026 anyway (6-month rule).</t>
  </si>
  <si>
    <t>AURIONPRO</t>
  </si>
  <si>
    <t>Aurionpro Solution Ltd.</t>
  </si>
  <si>
    <t>Arya.ai enterprise AI 'seeing strong demand' — no revenue split (segments: Banking &amp; Fintech, TIG)</t>
  </si>
  <si>
    <t>Aurionpro Q1 FY27 press release (NSE)</t>
  </si>
  <si>
    <t>2026-07-27</t>
  </si>
  <si>
    <t>WATCH: owns Arya.ai; recheck if Arya revenue is ever disclosed.</t>
  </si>
  <si>
    <t>BSOFT</t>
  </si>
  <si>
    <t>Birlasoft Ltd.</t>
  </si>
  <si>
    <t>'Several AI-led engagements' in $169m TCV</t>
  </si>
  <si>
    <t>Birlasoft Q1 FY27 press release</t>
  </si>
  <si>
    <t>2026-07-28</t>
  </si>
  <si>
    <t>Deal wins ≠ revenue.</t>
  </si>
  <si>
    <t>BBOX</t>
  </si>
  <si>
    <t>Black Box Ltd.</t>
  </si>
  <si>
    <t>IT/data-centre infrastructure services</t>
  </si>
  <si>
    <t>Business model (screened by business description; no AI revenue disclosure found)</t>
  </si>
  <si>
    <t>Upstox (data-centre operators article)</t>
  </si>
  <si>
    <t>Picks-and-shovels (builds DC infrastructure) — excluded by design.</t>
  </si>
  <si>
    <t>MAPMYINDIA</t>
  </si>
  <si>
    <t>C.E. Info Systems Ltd.</t>
  </si>
  <si>
    <t>Digital maps &amp; location tech; AI qualitative only</t>
  </si>
  <si>
    <t>Company results coverage (Entrackr, YourStory)</t>
  </si>
  <si>
    <t>2026-08</t>
  </si>
  <si>
    <t>No AI revenue.</t>
  </si>
  <si>
    <t>CAPILLARY</t>
  </si>
  <si>
    <t>Capillary Technologies India Ltd.</t>
  </si>
  <si>
    <t>'AI-powered' loyalty &amp; CRM SaaS; no AI revenue split</t>
  </si>
  <si>
    <t>Listed 21-Nov-2025</t>
  </si>
  <si>
    <t>5paisa listing note</t>
  </si>
  <si>
    <t>2025-11-21</t>
  </si>
  <si>
    <t>Rule 5d: AI-powered SaaS, revenue is loyalty/CRM subscriptions, not labelled AI revenue.</t>
  </si>
  <si>
    <t>COFORGE</t>
  </si>
  <si>
    <t>Coforge Ltd.</t>
  </si>
  <si>
    <t>PASS – estimate needed</t>
  </si>
  <si>
    <t>Secondary source: '86% of revenue from AI-led engineering, data and cloud services'; '~50% AI-led engineering'</t>
  </si>
  <si>
    <t>Claimed, not verified</t>
  </si>
  <si>
    <t>IndMoney, Jul 2026</t>
  </si>
  <si>
    <t>⚠ AI-WASHING RISK: label bundles AI with data + cloud. Not a clean AI revenue figure. Needs primary source; treat as estimate.</t>
  </si>
  <si>
    <t>CYIENT</t>
  </si>
  <si>
    <t>Cyient Ltd.</t>
  </si>
  <si>
    <t>No AI revenue; semiconductor unit loss-making</t>
  </si>
  <si>
    <t>Sahi midcap IT &amp; AI blog</t>
  </si>
  <si>
    <t>2026-08-10</t>
  </si>
  <si>
    <t>DATAMATICS</t>
  </si>
  <si>
    <t>Datamatics Global Services Ltd.</t>
  </si>
  <si>
    <t>AI offerings named (FINATO, Kai, TruAI) — no revenue figures</t>
  </si>
  <si>
    <t>Datamatics FY26 press release</t>
  </si>
  <si>
    <t>2026-05-21</t>
  </si>
  <si>
    <t>E2E</t>
  </si>
  <si>
    <t>E2E Networks Ltd.</t>
  </si>
  <si>
    <t>PASS – quantified</t>
  </si>
  <si>
    <t>Whole business is AI-focused GPU cloud (H100/H200/B200 clusters, TIR AI platform)</t>
  </si>
  <si>
    <t>Business model</t>
  </si>
  <si>
    <t>NSE mainboard since 2022</t>
  </si>
  <si>
    <t>JM Financial / company results, Sep 2026</t>
  </si>
  <si>
    <t>2026-09-01</t>
  </si>
  <si>
    <t>No segment split; also sells non-GPU cloud. Needs point-in-time judgement for 2024 reviews (GPU share was smaller then).</t>
  </si>
  <si>
    <t>EBGNG</t>
  </si>
  <si>
    <t>GNG Electronics Ltd.</t>
  </si>
  <si>
    <t>Refurbished laptops/devices</t>
  </si>
  <si>
    <t>Company business description</t>
  </si>
  <si>
    <t>Not an AI business.</t>
  </si>
  <si>
    <t>FRACTAL</t>
  </si>
  <si>
    <t>Fractal Analytics Ltd.</t>
  </si>
  <si>
    <t>Describes itself as an enterprise AI company (AI platforms + AI/analytics services)</t>
  </si>
  <si>
    <t>Listed 16-Feb-2026</t>
  </si>
  <si>
    <t>Sahi IPO note, Feb 2026</t>
  </si>
  <si>
    <t>2026-02-16</t>
  </si>
  <si>
    <t>Not eligible until 6 months after listing → first possible review Dec-2026. No effect on 2024–Jun 2026 backtest.</t>
  </si>
  <si>
    <t>← please verify</t>
  </si>
  <si>
    <t>HCLTECH</t>
  </si>
  <si>
    <t>HCL Technologies Ltd.</t>
  </si>
  <si>
    <t>'Advanced AI' revenue: &gt;$100m (Q2 FY26, Oct-2025), $146m (Q3 FY26), $171m (Q1 FY27)</t>
  </si>
  <si>
    <t>Yes – absolute $</t>
  </si>
  <si>
    <t>Motilal Oswal; st-hakky</t>
  </si>
  <si>
    <t>2025-10-13</t>
  </si>
  <si>
    <t>~3–5% of revenue (narrow definition) → below 5% → score 0. Usable from Dec-2025 review.</t>
  </si>
  <si>
    <t>HAPPSTMNDS</t>
  </si>
  <si>
    <t>Happiest Minds Technologies Ltd.</t>
  </si>
  <si>
    <t>Dedicated GenAI business unit; target 20% of revenue from GenAI by FY27</t>
  </si>
  <si>
    <t>Target only, current % not found</t>
  </si>
  <si>
    <t>Sahi news</t>
  </si>
  <si>
    <t>2026-05-19</t>
  </si>
  <si>
    <t>Check annual report / concall for current GenAI share.</t>
  </si>
  <si>
    <t>HEXT</t>
  </si>
  <si>
    <t>Hexaware Technologies Ltd.</t>
  </si>
  <si>
    <t>'AI Labs launching one new offering every month' — qualitative</t>
  </si>
  <si>
    <t>Hexaware Q2 CY26 press release</t>
  </si>
  <si>
    <t>2026-07-29</t>
  </si>
  <si>
    <t>INFY</t>
  </si>
  <si>
    <t>Infosys Ltd.</t>
  </si>
  <si>
    <t>AI share of revenue disclosed: 5.5% (Q3 FY26, Jan-2026), 8.2% (Q1 FY27)</t>
  </si>
  <si>
    <t>Yes – reported %</t>
  </si>
  <si>
    <t>Reuters via HL; st-hakky</t>
  </si>
  <si>
    <t>First disclosed Jan-2026 → usable from Jun-2026 review. 5–20% bucket → BAIX-E.</t>
  </si>
  <si>
    <t>INTELLECT</t>
  </si>
  <si>
    <t>Intellect Design Arena Ltd.</t>
  </si>
  <si>
    <t>Purple Fabric AI platform carved out as separate line of business (Jul-2026)</t>
  </si>
  <si>
    <t>Intellect Q1 FY27 press release (NSE)</t>
  </si>
  <si>
    <t>2026-07-31</t>
  </si>
  <si>
    <t>No AI revenue yet; separate reporting may start soon — recheck at Dec-2026 review.</t>
  </si>
  <si>
    <t>IKS</t>
  </si>
  <si>
    <t>Inventurus Knowledge Solutions Ltd.</t>
  </si>
  <si>
    <t>'Agentic AI workflows' in platform — qualitative</t>
  </si>
  <si>
    <t>IKS Q1 FY27 press release (NSE)</t>
  </si>
  <si>
    <t>2026-08-05</t>
  </si>
  <si>
    <t>Healthcare RCM services; no AI revenue.</t>
  </si>
  <si>
    <t>KPITTECH</t>
  </si>
  <si>
    <t>KPIT Technologies Ltd.</t>
  </si>
  <si>
    <t>'AI-driven mobility' qualitative; no AI revenue figure</t>
  </si>
  <si>
    <t>Upstox, Q1 FY27</t>
  </si>
  <si>
    <t>No disclosure; estimate &lt;20% → score 0.</t>
  </si>
  <si>
    <t>LTTS</t>
  </si>
  <si>
    <t>L&amp;T Technology Services Ltd.</t>
  </si>
  <si>
    <t>Only AI patent count (235+); segments are Mobility/Sustainability/Tech</t>
  </si>
  <si>
    <t>LTTS Q4 FY26 investor release</t>
  </si>
  <si>
    <t>2026-04-22</t>
  </si>
  <si>
    <t>✓ Confirmed by Harsha (release dated 22-Apr-2026): AI mentioned qualitatively only ('Engineering Intelligence', 235+ AI patents); no AI revenue figure</t>
  </si>
  <si>
    <t>LTM</t>
  </si>
  <si>
    <t>LTM Ltd. (formerly LTIMindtree)</t>
  </si>
  <si>
    <t>AI revenue ~ $150m quarterly run-rate (Creative + Industrial + Business AI), Q1 FY27</t>
  </si>
  <si>
    <t>Renamed from LTIMindtree 17-Mar-2026</t>
  </si>
  <si>
    <t>Multibagg (citing CEO), Jul 2026</t>
  </si>
  <si>
    <t>2026-07-13</t>
  </si>
  <si>
    <t>~12% of revenue (my calc: 150/1,224). First disclosed after Jun-2026 cut-off → usable from Dec-2026.</t>
  </si>
  <si>
    <t>LATENTVIEW</t>
  </si>
  <si>
    <t>Latent View Analytics Ltd.</t>
  </si>
  <si>
    <t>AI-linked revenue cited at 20%–49% of FY26 depending on definition</t>
  </si>
  <si>
    <t>Yes – but inconsistent, secondary sources</t>
  </si>
  <si>
    <t>Multibagg (citing mgmt/brokers), Jul 2026</t>
  </si>
  <si>
    <t>2026-07-10</t>
  </si>
  <si>
    <t>Find primary source (annual report / concall). Great definition case study: 20%, 21%, 28% or 49%?</t>
  </si>
  <si>
    <t>MASTEK</t>
  </si>
  <si>
    <t>Mastek Ltd.</t>
  </si>
  <si>
    <t>~45% of NEW ORDER BOOK from AI deals; 40+ AI deals</t>
  </si>
  <si>
    <t>Bookings only</t>
  </si>
  <si>
    <t>Mastek Q1 FY27 press release</t>
  </si>
  <si>
    <t>2026-07-21</t>
  </si>
  <si>
    <t>Bookings ≠ revenue. Watch: strongest AI bookings signal in batch — recheck Dec-2026.</t>
  </si>
  <si>
    <t>✓ Confirmed by Harsha (PR dated 21-Jul-2026): '~45% of new ORDER BOOK from AI deals' — bookings, not revenue</t>
  </si>
  <si>
    <t>MPHASIS</t>
  </si>
  <si>
    <t>MphasiS Ltd.</t>
  </si>
  <si>
    <t>Only deal-win share disclosed (63% of Q1 FY27 TCV 'AI-led'); no AI revenue</t>
  </si>
  <si>
    <t>Multibagg, Jul 2026</t>
  </si>
  <si>
    <t>2026-07-24</t>
  </si>
  <si>
    <t>Deal wins ≠ revenue. Any honest estimate &lt;20% → score 0 under conservative rule.</t>
  </si>
  <si>
    <t>NETWEB</t>
  </si>
  <si>
    <t>Netweb Technologies India Ltd.</t>
  </si>
  <si>
    <t>AI Systems segment reported every quarter</t>
  </si>
  <si>
    <t>Netweb investor presentations (see AI scores worksheet)</t>
  </si>
  <si>
    <t>Fully scored in Step 3: 11% → 14.7% → 14.8% → 25.4% → 43.4%.</t>
  </si>
  <si>
    <t>NEWGEN</t>
  </si>
  <si>
    <t>Newgen Software Technologies Ltd.</t>
  </si>
  <si>
    <t>'Agentic AI embedded in low-code fabric' — qualitative</t>
  </si>
  <si>
    <t>Newgen FY26 press release</t>
  </si>
  <si>
    <t>2026-05-04</t>
  </si>
  <si>
    <t>No AI revenue split (only subscription/SaaS).</t>
  </si>
  <si>
    <t>OFSS</t>
  </si>
  <si>
    <t>Oracle Financial Services Software Ltd.</t>
  </si>
  <si>
    <t>Banking software (Oracle subsidiary)</t>
  </si>
  <si>
    <t>No AI revenue disclosure found.</t>
  </si>
  <si>
    <t>PERSISTENT</t>
  </si>
  <si>
    <t>Persistent Systems Ltd.</t>
  </si>
  <si>
    <t>'AI-first strategy', 'AI-led digital engineering' — qualitative only</t>
  </si>
  <si>
    <t>Persistent Q4 FY26 press release</t>
  </si>
  <si>
    <t>2026-04-21</t>
  </si>
  <si>
    <t>Estimated → conservative rule applies.</t>
  </si>
  <si>
    <t>RATEGAIN</t>
  </si>
  <si>
    <t>Rategain Travel Technologies Ltd.</t>
  </si>
  <si>
    <t>'AI-first platform for travel' (strategy); revenue split Martech/DaaS/Distribution only</t>
  </si>
  <si>
    <t>Medianama (Q2 FY26 call)</t>
  </si>
  <si>
    <t>2025-11-12</t>
  </si>
  <si>
    <t>Rule 5d: AI-powered travel SaaS; no AI revenue label.</t>
  </si>
  <si>
    <t>SAGILITY</t>
  </si>
  <si>
    <t>Sagility Ltd.</t>
  </si>
  <si>
    <t>AI mentioned once in CEO quote</t>
  </si>
  <si>
    <t>InvestyWise (citing BSE filing)</t>
  </si>
  <si>
    <t>Healthcare BPM; no AI revenue.</t>
  </si>
  <si>
    <t>SONATSOFTW</t>
  </si>
  <si>
    <t>Sonata Software Ltd.</t>
  </si>
  <si>
    <t>'AI-led pipeline' only</t>
  </si>
  <si>
    <t>ScanX, Q1 FY27</t>
  </si>
  <si>
    <t>2026-08-06</t>
  </si>
  <si>
    <t>Pipeline ≠ revenue.</t>
  </si>
  <si>
    <t>TANLA</t>
  </si>
  <si>
    <t>Tanla Platforms Ltd.</t>
  </si>
  <si>
    <t>Calls itself 'AI-native platform company'; Wisely AI usage metric only (100Mn users protected)</t>
  </si>
  <si>
    <t>Tanla Q4 FY26 press release</t>
  </si>
  <si>
    <t>2026-04-24</t>
  </si>
  <si>
    <t>Rule 5d: sells CPaaS/messaging, AI powers it. No AI revenue split.</t>
  </si>
  <si>
    <t>✓ Confirmed by Harsha (PR dated 24-Apr-2026): 'AI-native' self-description + Wisely usage metric only</t>
  </si>
  <si>
    <t>TCS</t>
  </si>
  <si>
    <t>Tata Consultancy Services Ltd.</t>
  </si>
  <si>
    <t>Annualised AI revenue disclosed: $1.5bn (Analyst Day, 17-Dec-2025), $1.8bn (Q3 FY26), $2.6bn (Q1 FY27)</t>
  </si>
  <si>
    <t>Yes – annualised $</t>
  </si>
  <si>
    <t>TCS Analyst Day 2025 transcript (primary): https://www.tcs.com/content/dam/tcs/pdf/discover-tcs/investor-relations/key-events/transcript-of-tcs-analyst-day-2025.pdf ; Moneycontrol report</t>
  </si>
  <si>
    <t>2025-12-17</t>
  </si>
  <si>
    <t>POINT-IN-TIME: first disclosed 17-Dec-2025 → AFTER the Dec-2025 cut-off (28-Nov). Usable from Jun-2026 review only. ~6–9% of revenue → BAIX-E range at best.</t>
  </si>
  <si>
    <t>✓ Confirmed by Harsha: 17-Dec-2025 (Analyst Day 2025)</t>
  </si>
  <si>
    <t>TATAELXSI</t>
  </si>
  <si>
    <t>Tata Elxsi Ltd.</t>
  </si>
  <si>
    <t>GenAI used mainly for internal productivity; no AI revenue disclosed</t>
  </si>
  <si>
    <t>Tata Elxsi Q4 FY26 press release (NSE)</t>
  </si>
  <si>
    <t>AI mentioned qualitatively only. Recheck each review.</t>
  </si>
  <si>
    <t>TATATECH</t>
  </si>
  <si>
    <t>Tata Technologies Ltd.</t>
  </si>
  <si>
    <t>'AI-driven expansion' — qualitative</t>
  </si>
  <si>
    <t>Swastika / Sahi Q1 FY27 coverage</t>
  </si>
  <si>
    <t>2026-07</t>
  </si>
  <si>
    <t>TECHM</t>
  </si>
  <si>
    <t>Tech Mahindra Ltd.</t>
  </si>
  <si>
    <t>AI described qualitatively only</t>
  </si>
  <si>
    <t>PSU Connect, Q1 FY27</t>
  </si>
  <si>
    <t>2026-07-16</t>
  </si>
  <si>
    <t>WIPRO</t>
  </si>
  <si>
    <t>Wipro Ltd.</t>
  </si>
  <si>
    <t>AI described qualitatively only ('AI-led deals')</t>
  </si>
  <si>
    <t>Wipro Q1 FY27 results coverage</t>
  </si>
  <si>
    <t>ZAGGLE</t>
  </si>
  <si>
    <t>Zaggle Prepaid Ocean Services Ltd.</t>
  </si>
  <si>
    <t>Prepaid cards / spend-management fintech</t>
  </si>
  <si>
    <t>ZENSARTECH</t>
  </si>
  <si>
    <t>Zensar Technologies Ltd.</t>
  </si>
  <si>
    <t>'AI-native offerings scaled'; 85% workforce AI-certified</t>
  </si>
  <si>
    <t>Zensar Q4 FY26 press release</t>
  </si>
  <si>
    <t>Workforce metric ≠ revenue.</t>
  </si>
  <si>
    <t>BHARTIARTL</t>
  </si>
  <si>
    <t>Bharti Airtel Ltd.</t>
  </si>
  <si>
    <t>Telecommunication</t>
  </si>
  <si>
    <t>AI 'central to strategy'; Nxtra data centres raised $1bn — no AI or DC revenue split</t>
  </si>
  <si>
    <t>Telecom Lead, Q4 FY26</t>
  </si>
  <si>
    <t>2026-05-13</t>
  </si>
  <si>
    <t>Funding ≠ revenue. Data-centre leasing is picks-and-shovels anyway.</t>
  </si>
  <si>
    <t>BHARTIHEXA</t>
  </si>
  <si>
    <t>Bharti Hexacom Ltd.</t>
  </si>
  <si>
    <t>Mobile telecom operator</t>
  </si>
  <si>
    <t>HFCL</t>
  </si>
  <si>
    <t>HFCL Ltd.</t>
  </si>
  <si>
    <t>Optical fibre &amp; telecom equipment</t>
  </si>
  <si>
    <t>Picks-and-shovels (AI DC cables) — excluded by design.</t>
  </si>
  <si>
    <t>INDUSTOWER</t>
  </si>
  <si>
    <t>Indus Towers Ltd.</t>
  </si>
  <si>
    <t>Telecom towers</t>
  </si>
  <si>
    <t>ITI</t>
  </si>
  <si>
    <t>ITI Ltd.</t>
  </si>
  <si>
    <t>Telecom equipment PSU</t>
  </si>
  <si>
    <t>RAILTEL</t>
  </si>
  <si>
    <t>Railtel Corporation Of India Ltd.</t>
  </si>
  <si>
    <t>Telecom/ICT PSU; small AI project orders (e.g. ₹24.9 Cr AI fraud detection)</t>
  </si>
  <si>
    <t>Order wins only</t>
  </si>
  <si>
    <t>ScanX / Sahi order news</t>
  </si>
  <si>
    <t>2026</t>
  </si>
  <si>
    <t>Orders ≠ revenue share; AI orders tiny vs ₹11,466 Cr order book.</t>
  </si>
  <si>
    <t>ROUTE</t>
  </si>
  <si>
    <t>Route Mobile Ltd.</t>
  </si>
  <si>
    <t>CPaaS / messaging</t>
  </si>
  <si>
    <t>Rule 5d: messaging, not AI revenue.</t>
  </si>
  <si>
    <t>STLTECH</t>
  </si>
  <si>
    <t>Sterlite Technologies Ltd.</t>
  </si>
  <si>
    <t>Optical fibre &amp; cables</t>
  </si>
  <si>
    <t>Picks-and-shovels — excluded by design.</t>
  </si>
  <si>
    <t>TATACOMM</t>
  </si>
  <si>
    <t>Tata Communications Ltd.</t>
  </si>
  <si>
    <t>'Digital portfolio' +19.2% YoY; AI only qualitative ('digital infrastructure for the AI era'); Vayu AI cloud launched</t>
  </si>
  <si>
    <t>Tata Communications Q4 FY26 release (Tata World)</t>
  </si>
  <si>
    <t>2026-04</t>
  </si>
  <si>
    <t>Digital portfolio ≠ AI revenue. WATCH: Vayu AI cloud could be disclosed separately later.</t>
  </si>
  <si>
    <t>TTML</t>
  </si>
  <si>
    <t>Tata Teleservices (Maharashtra) Ltd.</t>
  </si>
  <si>
    <t>Enterprise telecom services</t>
  </si>
  <si>
    <t>TEJASNET</t>
  </si>
  <si>
    <t>Tejas Networks Ltd.</t>
  </si>
  <si>
    <t>Telecom networking equipment</t>
  </si>
  <si>
    <t>IDEA</t>
  </si>
  <si>
    <t>Vodafone Idea Ltd.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</si>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</sst>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3"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30" style="1" customWidth="1"/>
    <col min="4" max="4" width="20" style="1" customWidth="1"/>
    <col min="5" max="5" width="7" style="1" customWidth="1"/>
    <col min="6" max="6" width="20" style="1" customWidth="1"/>
    <col min="7" max="7" width="45" style="1" customWidth="1"/>
    <col min="8" max="8" width="20" style="1" customWidth="1"/>
    <col min="9" max="9" width="18" style="1" customWidth="1"/>
    <col min="10" max="10" width="32" style="1" customWidth="1"/>
    <col min="11" max="11" width="11" style="1" customWidth="1"/>
    <col min="12" max="12" width="50" style="1" customWidth="1"/>
    <col min="13" max="13" width="16" style="1" customWidth="1"/>
  </cols>
  <sheetData>
    <row r="1" spans="1:13" ht="26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6.25" customHeight="1" x14ac:dyDescent="0.35">
      <c r="A2" s="3">
        <v>1</v>
      </c>
      <c r="B2" s="3" t="s">
        <v>13</v>
      </c>
      <c r="C2" s="3" t="s">
        <v>14</v>
      </c>
      <c r="D2" s="3" t="s">
        <v>15</v>
      </c>
      <c r="E2" s="3">
        <v>1</v>
      </c>
      <c r="F2" s="3" t="s">
        <v>16</v>
      </c>
      <c r="G2" s="3" t="s">
        <v>17</v>
      </c>
      <c r="H2" s="3" t="s">
        <v>18</v>
      </c>
      <c r="I2" s="3"/>
      <c r="J2" s="3" t="s">
        <v>19</v>
      </c>
      <c r="K2" s="3" t="s">
        <v>20</v>
      </c>
      <c r="L2" s="3" t="s">
        <v>21</v>
      </c>
      <c r="M2" s="3"/>
    </row>
    <row r="3" spans="1:13" ht="26.25" customHeight="1" x14ac:dyDescent="0.35">
      <c r="A3" s="3">
        <v>2</v>
      </c>
      <c r="B3" s="3" t="s">
        <v>22</v>
      </c>
      <c r="C3" s="3" t="s">
        <v>23</v>
      </c>
      <c r="D3" s="3" t="s">
        <v>15</v>
      </c>
      <c r="E3" s="3">
        <v>1</v>
      </c>
      <c r="F3" s="3" t="s">
        <v>16</v>
      </c>
      <c r="G3" s="3" t="s">
        <v>24</v>
      </c>
      <c r="H3" s="3" t="s">
        <v>18</v>
      </c>
      <c r="I3" s="3" t="s">
        <v>25</v>
      </c>
      <c r="J3" s="3" t="s">
        <v>26</v>
      </c>
      <c r="K3" s="3" t="s">
        <v>27</v>
      </c>
      <c r="L3" s="3" t="s">
        <v>28</v>
      </c>
      <c r="M3" s="3"/>
    </row>
    <row r="4" spans="1:13" ht="26.25" customHeight="1" x14ac:dyDescent="0.35">
      <c r="A4" s="3">
        <v>3</v>
      </c>
      <c r="B4" s="3" t="s">
        <v>29</v>
      </c>
      <c r="C4" s="3" t="s">
        <v>30</v>
      </c>
      <c r="D4" s="3" t="s">
        <v>15</v>
      </c>
      <c r="E4" s="3">
        <v>4</v>
      </c>
      <c r="F4" s="3" t="s">
        <v>16</v>
      </c>
      <c r="G4" s="3" t="s">
        <v>31</v>
      </c>
      <c r="H4" s="3" t="s">
        <v>18</v>
      </c>
      <c r="I4" s="3"/>
      <c r="J4" s="3" t="s">
        <v>32</v>
      </c>
      <c r="K4" s="3" t="s">
        <v>33</v>
      </c>
      <c r="L4" s="3" t="s">
        <v>34</v>
      </c>
      <c r="M4" s="3"/>
    </row>
    <row r="5" spans="1:13" ht="26.25" customHeight="1" x14ac:dyDescent="0.35">
      <c r="A5" s="3">
        <v>4</v>
      </c>
      <c r="B5" s="3" t="s">
        <v>35</v>
      </c>
      <c r="C5" s="3" t="s">
        <v>36</v>
      </c>
      <c r="D5" s="3" t="s">
        <v>15</v>
      </c>
      <c r="E5" s="3">
        <v>3</v>
      </c>
      <c r="F5" s="3" t="s">
        <v>16</v>
      </c>
      <c r="G5" s="3" t="s">
        <v>37</v>
      </c>
      <c r="H5" s="3" t="s">
        <v>18</v>
      </c>
      <c r="I5" s="3"/>
      <c r="J5" s="3" t="s">
        <v>38</v>
      </c>
      <c r="K5" s="3" t="s">
        <v>39</v>
      </c>
      <c r="L5" s="3" t="s">
        <v>40</v>
      </c>
      <c r="M5" s="3"/>
    </row>
    <row r="6" spans="1:13" ht="26.25" customHeight="1" x14ac:dyDescent="0.35">
      <c r="A6" s="3">
        <v>5</v>
      </c>
      <c r="B6" s="3" t="s">
        <v>41</v>
      </c>
      <c r="C6" s="3" t="s">
        <v>42</v>
      </c>
      <c r="D6" s="3" t="s">
        <v>15</v>
      </c>
      <c r="E6" s="3">
        <v>4</v>
      </c>
      <c r="F6" s="3" t="s">
        <v>16</v>
      </c>
      <c r="G6" s="3" t="s">
        <v>43</v>
      </c>
      <c r="H6" s="3" t="s">
        <v>44</v>
      </c>
      <c r="I6" s="3"/>
      <c r="J6" s="3" t="s">
        <v>45</v>
      </c>
      <c r="K6" s="3"/>
      <c r="L6" s="3" t="s">
        <v>46</v>
      </c>
      <c r="M6" s="3"/>
    </row>
    <row r="7" spans="1:13" ht="26.25" customHeight="1" x14ac:dyDescent="0.35">
      <c r="A7" s="3">
        <v>6</v>
      </c>
      <c r="B7" s="3" t="s">
        <v>47</v>
      </c>
      <c r="C7" s="3" t="s">
        <v>48</v>
      </c>
      <c r="D7" s="3" t="s">
        <v>15</v>
      </c>
      <c r="E7" s="3">
        <v>4</v>
      </c>
      <c r="F7" s="3" t="s">
        <v>16</v>
      </c>
      <c r="G7" s="3" t="s">
        <v>49</v>
      </c>
      <c r="H7" s="3" t="s">
        <v>44</v>
      </c>
      <c r="I7" s="3"/>
      <c r="J7" s="3" t="s">
        <v>50</v>
      </c>
      <c r="K7" s="3" t="s">
        <v>51</v>
      </c>
      <c r="L7" s="3" t="s">
        <v>52</v>
      </c>
      <c r="M7" s="3"/>
    </row>
    <row r="8" spans="1:13" ht="39" customHeight="1" x14ac:dyDescent="0.35">
      <c r="A8" s="3">
        <v>7</v>
      </c>
      <c r="B8" s="3" t="s">
        <v>53</v>
      </c>
      <c r="C8" s="3" t="s">
        <v>54</v>
      </c>
      <c r="D8" s="3" t="s">
        <v>15</v>
      </c>
      <c r="E8" s="3">
        <v>1</v>
      </c>
      <c r="F8" s="3" t="s">
        <v>16</v>
      </c>
      <c r="G8" s="3" t="s">
        <v>55</v>
      </c>
      <c r="H8" s="3" t="s">
        <v>18</v>
      </c>
      <c r="I8" s="3" t="s">
        <v>56</v>
      </c>
      <c r="J8" s="3" t="s">
        <v>57</v>
      </c>
      <c r="K8" s="3" t="s">
        <v>58</v>
      </c>
      <c r="L8" s="3" t="s">
        <v>59</v>
      </c>
      <c r="M8" s="3"/>
    </row>
    <row r="9" spans="1:13" ht="26.25" customHeight="1" x14ac:dyDescent="0.35">
      <c r="A9" s="3">
        <v>8</v>
      </c>
      <c r="B9" s="3" t="s">
        <v>60</v>
      </c>
      <c r="C9" s="3" t="s">
        <v>61</v>
      </c>
      <c r="D9" s="3" t="s">
        <v>15</v>
      </c>
      <c r="E9" s="3">
        <v>2</v>
      </c>
      <c r="F9" s="3" t="s">
        <v>62</v>
      </c>
      <c r="G9" s="3" t="s">
        <v>63</v>
      </c>
      <c r="H9" s="3" t="s">
        <v>64</v>
      </c>
      <c r="I9" s="3"/>
      <c r="J9" s="3" t="s">
        <v>65</v>
      </c>
      <c r="K9" s="3" t="s">
        <v>39</v>
      </c>
      <c r="L9" s="3" t="s">
        <v>66</v>
      </c>
      <c r="M9" s="3"/>
    </row>
    <row r="10" spans="1:13" ht="26.25" customHeight="1" x14ac:dyDescent="0.35">
      <c r="A10" s="3">
        <v>9</v>
      </c>
      <c r="B10" s="3" t="s">
        <v>67</v>
      </c>
      <c r="C10" s="3" t="s">
        <v>68</v>
      </c>
      <c r="D10" s="3" t="s">
        <v>15</v>
      </c>
      <c r="E10" s="3">
        <v>4</v>
      </c>
      <c r="F10" s="3" t="s">
        <v>16</v>
      </c>
      <c r="G10" s="3" t="s">
        <v>69</v>
      </c>
      <c r="H10" s="3" t="s">
        <v>18</v>
      </c>
      <c r="I10" s="3"/>
      <c r="J10" s="3" t="s">
        <v>70</v>
      </c>
      <c r="K10" s="3" t="s">
        <v>71</v>
      </c>
      <c r="L10" s="3" t="s">
        <v>52</v>
      </c>
      <c r="M10" s="3"/>
    </row>
    <row r="11" spans="1:13" ht="26.25" customHeight="1" x14ac:dyDescent="0.35">
      <c r="A11" s="3">
        <v>10</v>
      </c>
      <c r="B11" s="3" t="s">
        <v>72</v>
      </c>
      <c r="C11" s="3" t="s">
        <v>73</v>
      </c>
      <c r="D11" s="3" t="s">
        <v>15</v>
      </c>
      <c r="E11" s="3">
        <v>3</v>
      </c>
      <c r="F11" s="3" t="s">
        <v>16</v>
      </c>
      <c r="G11" s="3" t="s">
        <v>74</v>
      </c>
      <c r="H11" s="3" t="s">
        <v>18</v>
      </c>
      <c r="I11" s="3"/>
      <c r="J11" s="3" t="s">
        <v>75</v>
      </c>
      <c r="K11" s="3" t="s">
        <v>76</v>
      </c>
      <c r="L11" s="3" t="s">
        <v>52</v>
      </c>
      <c r="M11" s="3"/>
    </row>
    <row r="12" spans="1:13" ht="39" customHeight="1" x14ac:dyDescent="0.35">
      <c r="A12" s="3">
        <v>11</v>
      </c>
      <c r="B12" s="3" t="s">
        <v>77</v>
      </c>
      <c r="C12" s="3" t="s">
        <v>78</v>
      </c>
      <c r="D12" s="3" t="s">
        <v>15</v>
      </c>
      <c r="E12" s="3">
        <v>1</v>
      </c>
      <c r="F12" s="3" t="s">
        <v>79</v>
      </c>
      <c r="G12" s="3" t="s">
        <v>80</v>
      </c>
      <c r="H12" s="3" t="s">
        <v>81</v>
      </c>
      <c r="I12" s="3" t="s">
        <v>82</v>
      </c>
      <c r="J12" s="3" t="s">
        <v>83</v>
      </c>
      <c r="K12" s="3" t="s">
        <v>84</v>
      </c>
      <c r="L12" s="3" t="s">
        <v>85</v>
      </c>
      <c r="M12" s="3"/>
    </row>
    <row r="13" spans="1:13" ht="26.25" customHeight="1" x14ac:dyDescent="0.35">
      <c r="A13" s="3">
        <v>12</v>
      </c>
      <c r="B13" s="3" t="s">
        <v>86</v>
      </c>
      <c r="C13" s="3" t="s">
        <v>87</v>
      </c>
      <c r="D13" s="3" t="s">
        <v>15</v>
      </c>
      <c r="E13" s="3">
        <v>4</v>
      </c>
      <c r="F13" s="3" t="s">
        <v>16</v>
      </c>
      <c r="G13" s="3" t="s">
        <v>88</v>
      </c>
      <c r="H13" s="3" t="s">
        <v>44</v>
      </c>
      <c r="I13" s="3"/>
      <c r="J13" s="3" t="s">
        <v>89</v>
      </c>
      <c r="K13" s="3"/>
      <c r="L13" s="3" t="s">
        <v>90</v>
      </c>
      <c r="M13" s="3"/>
    </row>
    <row r="14" spans="1:13" ht="39" customHeight="1" x14ac:dyDescent="0.35">
      <c r="A14" s="3">
        <v>13</v>
      </c>
      <c r="B14" s="3" t="s">
        <v>91</v>
      </c>
      <c r="C14" s="3" t="s">
        <v>92</v>
      </c>
      <c r="D14" s="3" t="s">
        <v>15</v>
      </c>
      <c r="E14" s="3">
        <v>1</v>
      </c>
      <c r="F14" s="3" t="s">
        <v>79</v>
      </c>
      <c r="G14" s="3" t="s">
        <v>93</v>
      </c>
      <c r="H14" s="3" t="s">
        <v>81</v>
      </c>
      <c r="I14" s="3" t="s">
        <v>94</v>
      </c>
      <c r="J14" s="3" t="s">
        <v>95</v>
      </c>
      <c r="K14" s="3" t="s">
        <v>96</v>
      </c>
      <c r="L14" s="3" t="s">
        <v>97</v>
      </c>
      <c r="M14" s="4" t="s">
        <v>98</v>
      </c>
    </row>
    <row r="15" spans="1:13" ht="26.25" customHeight="1" x14ac:dyDescent="0.35">
      <c r="A15" s="3">
        <v>14</v>
      </c>
      <c r="B15" s="3" t="s">
        <v>99</v>
      </c>
      <c r="C15" s="3" t="s">
        <v>100</v>
      </c>
      <c r="D15" s="3" t="s">
        <v>15</v>
      </c>
      <c r="E15" s="3">
        <v>2</v>
      </c>
      <c r="F15" s="3" t="s">
        <v>79</v>
      </c>
      <c r="G15" s="3" t="s">
        <v>101</v>
      </c>
      <c r="H15" s="3" t="s">
        <v>102</v>
      </c>
      <c r="I15" s="3"/>
      <c r="J15" s="3" t="s">
        <v>103</v>
      </c>
      <c r="K15" s="3" t="s">
        <v>104</v>
      </c>
      <c r="L15" s="3" t="s">
        <v>105</v>
      </c>
      <c r="M15" s="3"/>
    </row>
    <row r="16" spans="1:13" ht="26.25" customHeight="1" x14ac:dyDescent="0.35">
      <c r="A16" s="3">
        <v>15</v>
      </c>
      <c r="B16" s="3" t="s">
        <v>106</v>
      </c>
      <c r="C16" s="3" t="s">
        <v>107</v>
      </c>
      <c r="D16" s="3" t="s">
        <v>15</v>
      </c>
      <c r="E16" s="3">
        <v>1</v>
      </c>
      <c r="F16" s="3" t="s">
        <v>62</v>
      </c>
      <c r="G16" s="3" t="s">
        <v>108</v>
      </c>
      <c r="H16" s="3" t="s">
        <v>109</v>
      </c>
      <c r="I16" s="3"/>
      <c r="J16" s="3" t="s">
        <v>110</v>
      </c>
      <c r="K16" s="3" t="s">
        <v>111</v>
      </c>
      <c r="L16" s="3" t="s">
        <v>112</v>
      </c>
      <c r="M16" s="3"/>
    </row>
    <row r="17" spans="1:13" ht="26.25" customHeight="1" x14ac:dyDescent="0.35">
      <c r="A17" s="3">
        <v>16</v>
      </c>
      <c r="B17" s="3" t="s">
        <v>113</v>
      </c>
      <c r="C17" s="3" t="s">
        <v>114</v>
      </c>
      <c r="D17" s="3" t="s">
        <v>15</v>
      </c>
      <c r="E17" s="3">
        <v>3</v>
      </c>
      <c r="F17" s="3" t="s">
        <v>16</v>
      </c>
      <c r="G17" s="3" t="s">
        <v>115</v>
      </c>
      <c r="H17" s="3" t="s">
        <v>18</v>
      </c>
      <c r="I17" s="3"/>
      <c r="J17" s="3" t="s">
        <v>116</v>
      </c>
      <c r="K17" s="3" t="s">
        <v>117</v>
      </c>
      <c r="L17" s="3" t="s">
        <v>52</v>
      </c>
      <c r="M17" s="3"/>
    </row>
    <row r="18" spans="1:13" ht="26.25" customHeight="1" x14ac:dyDescent="0.35">
      <c r="A18" s="3">
        <v>17</v>
      </c>
      <c r="B18" s="3" t="s">
        <v>118</v>
      </c>
      <c r="C18" s="3" t="s">
        <v>119</v>
      </c>
      <c r="D18" s="3" t="s">
        <v>15</v>
      </c>
      <c r="E18" s="3">
        <v>2</v>
      </c>
      <c r="F18" s="3" t="s">
        <v>79</v>
      </c>
      <c r="G18" s="3" t="s">
        <v>120</v>
      </c>
      <c r="H18" s="3" t="s">
        <v>121</v>
      </c>
      <c r="I18" s="3"/>
      <c r="J18" s="3" t="s">
        <v>122</v>
      </c>
      <c r="K18" s="3" t="s">
        <v>27</v>
      </c>
      <c r="L18" s="3" t="s">
        <v>123</v>
      </c>
      <c r="M18" s="3"/>
    </row>
    <row r="19" spans="1:13" ht="26.25" customHeight="1" x14ac:dyDescent="0.35">
      <c r="A19" s="3">
        <v>18</v>
      </c>
      <c r="B19" s="3" t="s">
        <v>124</v>
      </c>
      <c r="C19" s="3" t="s">
        <v>125</v>
      </c>
      <c r="D19" s="3" t="s">
        <v>15</v>
      </c>
      <c r="E19" s="3">
        <v>1</v>
      </c>
      <c r="F19" s="3" t="s">
        <v>62</v>
      </c>
      <c r="G19" s="3" t="s">
        <v>126</v>
      </c>
      <c r="H19" s="3" t="s">
        <v>18</v>
      </c>
      <c r="I19" s="3"/>
      <c r="J19" s="3" t="s">
        <v>127</v>
      </c>
      <c r="K19" s="3" t="s">
        <v>128</v>
      </c>
      <c r="L19" s="3" t="s">
        <v>129</v>
      </c>
      <c r="M19" s="3"/>
    </row>
    <row r="20" spans="1:13" ht="26.25" customHeight="1" x14ac:dyDescent="0.35">
      <c r="A20" s="3">
        <v>19</v>
      </c>
      <c r="B20" s="3" t="s">
        <v>130</v>
      </c>
      <c r="C20" s="3" t="s">
        <v>131</v>
      </c>
      <c r="D20" s="3" t="s">
        <v>15</v>
      </c>
      <c r="E20" s="3">
        <v>3</v>
      </c>
      <c r="F20" s="3" t="s">
        <v>16</v>
      </c>
      <c r="G20" s="3" t="s">
        <v>132</v>
      </c>
      <c r="H20" s="3" t="s">
        <v>18</v>
      </c>
      <c r="I20" s="3"/>
      <c r="J20" s="3" t="s">
        <v>133</v>
      </c>
      <c r="K20" s="3" t="s">
        <v>134</v>
      </c>
      <c r="L20" s="3" t="s">
        <v>135</v>
      </c>
      <c r="M20" s="3"/>
    </row>
    <row r="21" spans="1:13" ht="26.25" customHeight="1" x14ac:dyDescent="0.35">
      <c r="A21" s="3">
        <v>20</v>
      </c>
      <c r="B21" s="3" t="s">
        <v>136</v>
      </c>
      <c r="C21" s="3" t="s">
        <v>137</v>
      </c>
      <c r="D21" s="3" t="s">
        <v>15</v>
      </c>
      <c r="E21" s="3">
        <v>2</v>
      </c>
      <c r="F21" s="3" t="s">
        <v>16</v>
      </c>
      <c r="G21" s="3" t="s">
        <v>138</v>
      </c>
      <c r="H21" s="3" t="s">
        <v>18</v>
      </c>
      <c r="I21" s="3"/>
      <c r="J21" s="3" t="s">
        <v>139</v>
      </c>
      <c r="K21" s="3" t="s">
        <v>117</v>
      </c>
      <c r="L21" s="3" t="s">
        <v>140</v>
      </c>
      <c r="M21" s="3"/>
    </row>
    <row r="22" spans="1:13" ht="26.25" customHeight="1" x14ac:dyDescent="0.35">
      <c r="A22" s="3">
        <v>21</v>
      </c>
      <c r="B22" s="3" t="s">
        <v>141</v>
      </c>
      <c r="C22" s="3" t="s">
        <v>142</v>
      </c>
      <c r="D22" s="3" t="s">
        <v>15</v>
      </c>
      <c r="E22" s="3">
        <v>2</v>
      </c>
      <c r="F22" s="3" t="s">
        <v>16</v>
      </c>
      <c r="G22" s="3" t="s">
        <v>143</v>
      </c>
      <c r="H22" s="3" t="s">
        <v>18</v>
      </c>
      <c r="I22" s="3"/>
      <c r="J22" s="3" t="s">
        <v>144</v>
      </c>
      <c r="K22" s="3" t="s">
        <v>145</v>
      </c>
      <c r="L22" s="3" t="s">
        <v>140</v>
      </c>
      <c r="M22" s="4" t="s">
        <v>146</v>
      </c>
    </row>
    <row r="23" spans="1:13" ht="26.25" customHeight="1" x14ac:dyDescent="0.35">
      <c r="A23" s="3">
        <v>22</v>
      </c>
      <c r="B23" s="3" t="s">
        <v>147</v>
      </c>
      <c r="C23" s="3" t="s">
        <v>148</v>
      </c>
      <c r="D23" s="3" t="s">
        <v>15</v>
      </c>
      <c r="E23" s="3">
        <v>2</v>
      </c>
      <c r="F23" s="3" t="s">
        <v>79</v>
      </c>
      <c r="G23" s="3" t="s">
        <v>149</v>
      </c>
      <c r="H23" s="3" t="s">
        <v>102</v>
      </c>
      <c r="I23" s="3" t="s">
        <v>150</v>
      </c>
      <c r="J23" s="3" t="s">
        <v>151</v>
      </c>
      <c r="K23" s="3" t="s">
        <v>152</v>
      </c>
      <c r="L23" s="3" t="s">
        <v>153</v>
      </c>
      <c r="M23" s="3"/>
    </row>
    <row r="24" spans="1:13" ht="39" customHeight="1" x14ac:dyDescent="0.35">
      <c r="A24" s="3">
        <v>23</v>
      </c>
      <c r="B24" s="3" t="s">
        <v>154</v>
      </c>
      <c r="C24" s="3" t="s">
        <v>155</v>
      </c>
      <c r="D24" s="3" t="s">
        <v>15</v>
      </c>
      <c r="E24" s="3">
        <v>1</v>
      </c>
      <c r="F24" s="3" t="s">
        <v>62</v>
      </c>
      <c r="G24" s="3" t="s">
        <v>156</v>
      </c>
      <c r="H24" s="3" t="s">
        <v>157</v>
      </c>
      <c r="I24" s="3"/>
      <c r="J24" s="3" t="s">
        <v>158</v>
      </c>
      <c r="K24" s="3" t="s">
        <v>159</v>
      </c>
      <c r="L24" s="3" t="s">
        <v>160</v>
      </c>
      <c r="M24" s="3"/>
    </row>
    <row r="25" spans="1:13" ht="26.25" customHeight="1" x14ac:dyDescent="0.35">
      <c r="A25" s="3">
        <v>24</v>
      </c>
      <c r="B25" s="3" t="s">
        <v>161</v>
      </c>
      <c r="C25" s="3" t="s">
        <v>162</v>
      </c>
      <c r="D25" s="3" t="s">
        <v>15</v>
      </c>
      <c r="E25" s="3">
        <v>3</v>
      </c>
      <c r="F25" s="3" t="s">
        <v>16</v>
      </c>
      <c r="G25" s="3" t="s">
        <v>163</v>
      </c>
      <c r="H25" s="3" t="s">
        <v>164</v>
      </c>
      <c r="I25" s="3"/>
      <c r="J25" s="3" t="s">
        <v>165</v>
      </c>
      <c r="K25" s="3" t="s">
        <v>166</v>
      </c>
      <c r="L25" s="3" t="s">
        <v>167</v>
      </c>
      <c r="M25" s="3" t="s">
        <v>168</v>
      </c>
    </row>
    <row r="26" spans="1:13" ht="26.25" customHeight="1" x14ac:dyDescent="0.35">
      <c r="A26" s="3">
        <v>25</v>
      </c>
      <c r="B26" s="3" t="s">
        <v>169</v>
      </c>
      <c r="C26" s="3" t="s">
        <v>170</v>
      </c>
      <c r="D26" s="3" t="s">
        <v>15</v>
      </c>
      <c r="E26" s="3">
        <v>2</v>
      </c>
      <c r="F26" s="3" t="s">
        <v>16</v>
      </c>
      <c r="G26" s="3" t="s">
        <v>171</v>
      </c>
      <c r="H26" s="3" t="s">
        <v>18</v>
      </c>
      <c r="I26" s="3"/>
      <c r="J26" s="3" t="s">
        <v>172</v>
      </c>
      <c r="K26" s="3" t="s">
        <v>173</v>
      </c>
      <c r="L26" s="3" t="s">
        <v>174</v>
      </c>
      <c r="M26" s="3"/>
    </row>
    <row r="27" spans="1:13" ht="26.25" customHeight="1" x14ac:dyDescent="0.35">
      <c r="A27" s="3">
        <v>26</v>
      </c>
      <c r="B27" s="3" t="s">
        <v>175</v>
      </c>
      <c r="C27" s="3" t="s">
        <v>176</v>
      </c>
      <c r="D27" s="3" t="s">
        <v>15</v>
      </c>
      <c r="E27" s="3">
        <v>1</v>
      </c>
      <c r="F27" s="3" t="s">
        <v>79</v>
      </c>
      <c r="G27" s="3" t="s">
        <v>177</v>
      </c>
      <c r="H27" s="3" t="s">
        <v>121</v>
      </c>
      <c r="I27" s="3"/>
      <c r="J27" s="3" t="s">
        <v>178</v>
      </c>
      <c r="K27" s="3"/>
      <c r="L27" s="3" t="s">
        <v>179</v>
      </c>
      <c r="M27" s="3"/>
    </row>
    <row r="28" spans="1:13" ht="26.25" customHeight="1" x14ac:dyDescent="0.35">
      <c r="A28" s="3">
        <v>27</v>
      </c>
      <c r="B28" s="3" t="s">
        <v>180</v>
      </c>
      <c r="C28" s="3" t="s">
        <v>181</v>
      </c>
      <c r="D28" s="3" t="s">
        <v>15</v>
      </c>
      <c r="E28" s="3">
        <v>3</v>
      </c>
      <c r="F28" s="3" t="s">
        <v>16</v>
      </c>
      <c r="G28" s="3" t="s">
        <v>182</v>
      </c>
      <c r="H28" s="3" t="s">
        <v>18</v>
      </c>
      <c r="I28" s="3"/>
      <c r="J28" s="3" t="s">
        <v>183</v>
      </c>
      <c r="K28" s="3" t="s">
        <v>184</v>
      </c>
      <c r="L28" s="3" t="s">
        <v>185</v>
      </c>
      <c r="M28" s="3"/>
    </row>
    <row r="29" spans="1:13" ht="26.25" customHeight="1" x14ac:dyDescent="0.35">
      <c r="A29" s="3">
        <v>28</v>
      </c>
      <c r="B29" s="3" t="s">
        <v>186</v>
      </c>
      <c r="C29" s="3" t="s">
        <v>187</v>
      </c>
      <c r="D29" s="3" t="s">
        <v>15</v>
      </c>
      <c r="E29" s="3">
        <v>4</v>
      </c>
      <c r="F29" s="3" t="s">
        <v>16</v>
      </c>
      <c r="G29" s="3" t="s">
        <v>188</v>
      </c>
      <c r="H29" s="3" t="s">
        <v>44</v>
      </c>
      <c r="I29" s="3"/>
      <c r="J29" s="3" t="s">
        <v>89</v>
      </c>
      <c r="K29" s="3"/>
      <c r="L29" s="3" t="s">
        <v>189</v>
      </c>
      <c r="M29" s="3"/>
    </row>
    <row r="30" spans="1:13" ht="26.25" customHeight="1" x14ac:dyDescent="0.35">
      <c r="A30" s="3">
        <v>29</v>
      </c>
      <c r="B30" s="3" t="s">
        <v>190</v>
      </c>
      <c r="C30" s="3" t="s">
        <v>191</v>
      </c>
      <c r="D30" s="3" t="s">
        <v>15</v>
      </c>
      <c r="E30" s="3">
        <v>1</v>
      </c>
      <c r="F30" s="3" t="s">
        <v>62</v>
      </c>
      <c r="G30" s="3" t="s">
        <v>192</v>
      </c>
      <c r="H30" s="3" t="s">
        <v>18</v>
      </c>
      <c r="I30" s="3"/>
      <c r="J30" s="3" t="s">
        <v>193</v>
      </c>
      <c r="K30" s="3" t="s">
        <v>194</v>
      </c>
      <c r="L30" s="3" t="s">
        <v>195</v>
      </c>
      <c r="M30" s="3"/>
    </row>
    <row r="31" spans="1:13" ht="26.25" customHeight="1" x14ac:dyDescent="0.35">
      <c r="A31" s="3">
        <v>30</v>
      </c>
      <c r="B31" s="3" t="s">
        <v>196</v>
      </c>
      <c r="C31" s="3" t="s">
        <v>197</v>
      </c>
      <c r="D31" s="3" t="s">
        <v>15</v>
      </c>
      <c r="E31" s="3">
        <v>3</v>
      </c>
      <c r="F31" s="3" t="s">
        <v>16</v>
      </c>
      <c r="G31" s="3" t="s">
        <v>198</v>
      </c>
      <c r="H31" s="3" t="s">
        <v>18</v>
      </c>
      <c r="I31" s="3"/>
      <c r="J31" s="3" t="s">
        <v>199</v>
      </c>
      <c r="K31" s="3" t="s">
        <v>200</v>
      </c>
      <c r="L31" s="3" t="s">
        <v>201</v>
      </c>
      <c r="M31" s="3"/>
    </row>
    <row r="32" spans="1:13" ht="26.25" customHeight="1" x14ac:dyDescent="0.35">
      <c r="A32" s="3">
        <v>31</v>
      </c>
      <c r="B32" s="3" t="s">
        <v>202</v>
      </c>
      <c r="C32" s="3" t="s">
        <v>203</v>
      </c>
      <c r="D32" s="3" t="s">
        <v>15</v>
      </c>
      <c r="E32" s="3">
        <v>3</v>
      </c>
      <c r="F32" s="3" t="s">
        <v>16</v>
      </c>
      <c r="G32" s="3" t="s">
        <v>204</v>
      </c>
      <c r="H32" s="3" t="s">
        <v>18</v>
      </c>
      <c r="I32" s="3"/>
      <c r="J32" s="3" t="s">
        <v>205</v>
      </c>
      <c r="K32" s="3" t="s">
        <v>166</v>
      </c>
      <c r="L32" s="3" t="s">
        <v>206</v>
      </c>
      <c r="M32" s="3"/>
    </row>
    <row r="33" spans="1:13" ht="26.25" customHeight="1" x14ac:dyDescent="0.35">
      <c r="A33" s="3">
        <v>32</v>
      </c>
      <c r="B33" s="3" t="s">
        <v>207</v>
      </c>
      <c r="C33" s="3" t="s">
        <v>208</v>
      </c>
      <c r="D33" s="3" t="s">
        <v>15</v>
      </c>
      <c r="E33" s="3">
        <v>3</v>
      </c>
      <c r="F33" s="3" t="s">
        <v>16</v>
      </c>
      <c r="G33" s="3" t="s">
        <v>209</v>
      </c>
      <c r="H33" s="3" t="s">
        <v>18</v>
      </c>
      <c r="I33" s="3"/>
      <c r="J33" s="3" t="s">
        <v>210</v>
      </c>
      <c r="K33" s="3" t="s">
        <v>211</v>
      </c>
      <c r="L33" s="3" t="s">
        <v>212</v>
      </c>
      <c r="M33" s="3"/>
    </row>
    <row r="34" spans="1:13" ht="26.25" customHeight="1" x14ac:dyDescent="0.35">
      <c r="A34" s="3">
        <v>33</v>
      </c>
      <c r="B34" s="3" t="s">
        <v>213</v>
      </c>
      <c r="C34" s="3" t="s">
        <v>214</v>
      </c>
      <c r="D34" s="3" t="s">
        <v>15</v>
      </c>
      <c r="E34" s="3">
        <v>3</v>
      </c>
      <c r="F34" s="3" t="s">
        <v>16</v>
      </c>
      <c r="G34" s="3" t="s">
        <v>215</v>
      </c>
      <c r="H34" s="3" t="s">
        <v>18</v>
      </c>
      <c r="I34" s="3"/>
      <c r="J34" s="3" t="s">
        <v>216</v>
      </c>
      <c r="K34" s="3" t="s">
        <v>217</v>
      </c>
      <c r="L34" s="3" t="s">
        <v>218</v>
      </c>
      <c r="M34" s="3" t="s">
        <v>219</v>
      </c>
    </row>
    <row r="35" spans="1:13" ht="26.25" customHeight="1" x14ac:dyDescent="0.35">
      <c r="A35" s="3">
        <v>34</v>
      </c>
      <c r="B35" s="3" t="s">
        <v>220</v>
      </c>
      <c r="C35" s="3" t="s">
        <v>221</v>
      </c>
      <c r="D35" s="3" t="s">
        <v>15</v>
      </c>
      <c r="E35" s="3">
        <v>2</v>
      </c>
      <c r="F35" s="3" t="s">
        <v>79</v>
      </c>
      <c r="G35" s="3" t="s">
        <v>222</v>
      </c>
      <c r="H35" s="3" t="s">
        <v>223</v>
      </c>
      <c r="I35" s="3"/>
      <c r="J35" s="3" t="s">
        <v>224</v>
      </c>
      <c r="K35" s="3" t="s">
        <v>225</v>
      </c>
      <c r="L35" s="3" t="s">
        <v>226</v>
      </c>
      <c r="M35" s="4" t="s">
        <v>227</v>
      </c>
    </row>
    <row r="36" spans="1:13" ht="26.25" customHeight="1" x14ac:dyDescent="0.35">
      <c r="A36" s="3">
        <v>35</v>
      </c>
      <c r="B36" s="3" t="s">
        <v>228</v>
      </c>
      <c r="C36" s="3" t="s">
        <v>229</v>
      </c>
      <c r="D36" s="3" t="s">
        <v>15</v>
      </c>
      <c r="E36" s="3">
        <v>1</v>
      </c>
      <c r="F36" s="3" t="s">
        <v>16</v>
      </c>
      <c r="G36" s="3" t="s">
        <v>230</v>
      </c>
      <c r="H36" s="3" t="s">
        <v>18</v>
      </c>
      <c r="I36" s="3"/>
      <c r="J36" s="3" t="s">
        <v>231</v>
      </c>
      <c r="K36" s="3" t="s">
        <v>194</v>
      </c>
      <c r="L36" s="3" t="s">
        <v>232</v>
      </c>
      <c r="M36" s="4" t="s">
        <v>98</v>
      </c>
    </row>
    <row r="37" spans="1:13" ht="26.25" customHeight="1" x14ac:dyDescent="0.35">
      <c r="A37" s="3">
        <v>36</v>
      </c>
      <c r="B37" s="3" t="s">
        <v>233</v>
      </c>
      <c r="C37" s="3" t="s">
        <v>234</v>
      </c>
      <c r="D37" s="3" t="s">
        <v>15</v>
      </c>
      <c r="E37" s="3">
        <v>4</v>
      </c>
      <c r="F37" s="3" t="s">
        <v>16</v>
      </c>
      <c r="G37" s="3" t="s">
        <v>235</v>
      </c>
      <c r="H37" s="3" t="s">
        <v>18</v>
      </c>
      <c r="I37" s="3"/>
      <c r="J37" s="3" t="s">
        <v>236</v>
      </c>
      <c r="K37" s="3" t="s">
        <v>237</v>
      </c>
      <c r="L37" s="3" t="s">
        <v>52</v>
      </c>
      <c r="M37" s="3"/>
    </row>
    <row r="38" spans="1:13" ht="26.25" customHeight="1" x14ac:dyDescent="0.35">
      <c r="A38" s="3">
        <v>37</v>
      </c>
      <c r="B38" s="3" t="s">
        <v>238</v>
      </c>
      <c r="C38" s="3" t="s">
        <v>239</v>
      </c>
      <c r="D38" s="3" t="s">
        <v>15</v>
      </c>
      <c r="E38" s="3">
        <v>2</v>
      </c>
      <c r="F38" s="3" t="s">
        <v>16</v>
      </c>
      <c r="G38" s="3" t="s">
        <v>240</v>
      </c>
      <c r="H38" s="3" t="s">
        <v>18</v>
      </c>
      <c r="I38" s="3"/>
      <c r="J38" s="3" t="s">
        <v>241</v>
      </c>
      <c r="K38" s="3" t="s">
        <v>242</v>
      </c>
      <c r="L38" s="3" t="s">
        <v>140</v>
      </c>
      <c r="M38" s="3"/>
    </row>
    <row r="39" spans="1:13" ht="26.25" customHeight="1" x14ac:dyDescent="0.35">
      <c r="A39" s="3">
        <v>38</v>
      </c>
      <c r="B39" s="3" t="s">
        <v>243</v>
      </c>
      <c r="C39" s="3" t="s">
        <v>244</v>
      </c>
      <c r="D39" s="3" t="s">
        <v>15</v>
      </c>
      <c r="E39" s="3">
        <v>2</v>
      </c>
      <c r="F39" s="3" t="s">
        <v>16</v>
      </c>
      <c r="G39" s="3" t="s">
        <v>245</v>
      </c>
      <c r="H39" s="3" t="s">
        <v>18</v>
      </c>
      <c r="I39" s="3"/>
      <c r="J39" s="3" t="s">
        <v>246</v>
      </c>
      <c r="K39" s="3" t="s">
        <v>242</v>
      </c>
      <c r="L39" s="3" t="s">
        <v>140</v>
      </c>
      <c r="M39" s="3"/>
    </row>
    <row r="40" spans="1:13" ht="26.25" customHeight="1" x14ac:dyDescent="0.35">
      <c r="A40" s="3">
        <v>39</v>
      </c>
      <c r="B40" s="3" t="s">
        <v>247</v>
      </c>
      <c r="C40" s="3" t="s">
        <v>248</v>
      </c>
      <c r="D40" s="3" t="s">
        <v>15</v>
      </c>
      <c r="E40" s="3">
        <v>4</v>
      </c>
      <c r="F40" s="3" t="s">
        <v>16</v>
      </c>
      <c r="G40" s="3" t="s">
        <v>249</v>
      </c>
      <c r="H40" s="3" t="s">
        <v>44</v>
      </c>
      <c r="I40" s="3"/>
      <c r="J40" s="3" t="s">
        <v>89</v>
      </c>
      <c r="K40" s="3"/>
      <c r="L40" s="3" t="s">
        <v>90</v>
      </c>
      <c r="M40" s="3"/>
    </row>
    <row r="41" spans="1:13" ht="26.25" customHeight="1" x14ac:dyDescent="0.35">
      <c r="A41" s="3">
        <v>40</v>
      </c>
      <c r="B41" s="3" t="s">
        <v>250</v>
      </c>
      <c r="C41" s="3" t="s">
        <v>251</v>
      </c>
      <c r="D41" s="3" t="s">
        <v>15</v>
      </c>
      <c r="E41" s="3">
        <v>3</v>
      </c>
      <c r="F41" s="3" t="s">
        <v>16</v>
      </c>
      <c r="G41" s="3" t="s">
        <v>252</v>
      </c>
      <c r="H41" s="3" t="s">
        <v>18</v>
      </c>
      <c r="I41" s="3"/>
      <c r="J41" s="3" t="s">
        <v>253</v>
      </c>
      <c r="K41" s="3" t="s">
        <v>217</v>
      </c>
      <c r="L41" s="3" t="s">
        <v>254</v>
      </c>
      <c r="M41" s="3"/>
    </row>
    <row r="42" spans="1:13" ht="26.25" customHeight="1" x14ac:dyDescent="0.35">
      <c r="A42" s="3">
        <v>41</v>
      </c>
      <c r="B42" s="3" t="s">
        <v>255</v>
      </c>
      <c r="C42" s="3" t="s">
        <v>256</v>
      </c>
      <c r="D42" s="3" t="s">
        <v>257</v>
      </c>
      <c r="E42" s="3">
        <v>4</v>
      </c>
      <c r="F42" s="3" t="s">
        <v>16</v>
      </c>
      <c r="G42" s="3" t="s">
        <v>258</v>
      </c>
      <c r="H42" s="3" t="s">
        <v>18</v>
      </c>
      <c r="I42" s="3"/>
      <c r="J42" s="3" t="s">
        <v>259</v>
      </c>
      <c r="K42" s="3" t="s">
        <v>260</v>
      </c>
      <c r="L42" s="3" t="s">
        <v>261</v>
      </c>
      <c r="M42" s="3"/>
    </row>
    <row r="43" spans="1:13" ht="26.25" customHeight="1" x14ac:dyDescent="0.35">
      <c r="A43" s="3">
        <v>42</v>
      </c>
      <c r="B43" s="3" t="s">
        <v>262</v>
      </c>
      <c r="C43" s="3" t="s">
        <v>263</v>
      </c>
      <c r="D43" s="3" t="s">
        <v>257</v>
      </c>
      <c r="E43" s="3">
        <v>4</v>
      </c>
      <c r="F43" s="3" t="s">
        <v>16</v>
      </c>
      <c r="G43" s="3" t="s">
        <v>264</v>
      </c>
      <c r="H43" s="3" t="s">
        <v>44</v>
      </c>
      <c r="I43" s="3"/>
      <c r="J43" s="3" t="s">
        <v>89</v>
      </c>
      <c r="K43" s="3"/>
      <c r="L43" s="3" t="s">
        <v>90</v>
      </c>
      <c r="M43" s="3"/>
    </row>
    <row r="44" spans="1:13" ht="15" customHeight="1" x14ac:dyDescent="0.35">
      <c r="A44" s="3">
        <v>43</v>
      </c>
      <c r="B44" s="3" t="s">
        <v>265</v>
      </c>
      <c r="C44" s="3" t="s">
        <v>266</v>
      </c>
      <c r="D44" s="3" t="s">
        <v>257</v>
      </c>
      <c r="E44" s="3">
        <v>4</v>
      </c>
      <c r="F44" s="3" t="s">
        <v>16</v>
      </c>
      <c r="G44" s="3" t="s">
        <v>267</v>
      </c>
      <c r="H44" s="3" t="s">
        <v>44</v>
      </c>
      <c r="I44" s="3"/>
      <c r="J44" s="3" t="s">
        <v>89</v>
      </c>
      <c r="K44" s="3"/>
      <c r="L44" s="3" t="s">
        <v>268</v>
      </c>
      <c r="M44" s="3"/>
    </row>
    <row r="45" spans="1:13" ht="26.25" customHeight="1" x14ac:dyDescent="0.35">
      <c r="A45" s="3">
        <v>44</v>
      </c>
      <c r="B45" s="3" t="s">
        <v>269</v>
      </c>
      <c r="C45" s="3" t="s">
        <v>270</v>
      </c>
      <c r="D45" s="3" t="s">
        <v>257</v>
      </c>
      <c r="E45" s="3">
        <v>4</v>
      </c>
      <c r="F45" s="3" t="s">
        <v>16</v>
      </c>
      <c r="G45" s="3" t="s">
        <v>271</v>
      </c>
      <c r="H45" s="3" t="s">
        <v>44</v>
      </c>
      <c r="I45" s="3"/>
      <c r="J45" s="3" t="s">
        <v>89</v>
      </c>
      <c r="K45" s="3"/>
      <c r="L45" s="3" t="s">
        <v>90</v>
      </c>
      <c r="M45" s="3"/>
    </row>
    <row r="46" spans="1:13" ht="15" customHeight="1" x14ac:dyDescent="0.35">
      <c r="A46" s="3">
        <v>45</v>
      </c>
      <c r="B46" s="3" t="s">
        <v>272</v>
      </c>
      <c r="C46" s="3" t="s">
        <v>273</v>
      </c>
      <c r="D46" s="3" t="s">
        <v>257</v>
      </c>
      <c r="E46" s="3">
        <v>4</v>
      </c>
      <c r="F46" s="3" t="s">
        <v>16</v>
      </c>
      <c r="G46" s="3" t="s">
        <v>274</v>
      </c>
      <c r="H46" s="3" t="s">
        <v>44</v>
      </c>
      <c r="I46" s="3"/>
      <c r="J46" s="3" t="s">
        <v>89</v>
      </c>
      <c r="K46" s="3"/>
      <c r="L46" s="3" t="s">
        <v>90</v>
      </c>
      <c r="M46" s="3"/>
    </row>
    <row r="47" spans="1:13" ht="15" customHeight="1" x14ac:dyDescent="0.35">
      <c r="A47" s="3">
        <v>46</v>
      </c>
      <c r="B47" s="3" t="s">
        <v>275</v>
      </c>
      <c r="C47" s="3" t="s">
        <v>276</v>
      </c>
      <c r="D47" s="3" t="s">
        <v>257</v>
      </c>
      <c r="E47" s="3">
        <v>4</v>
      </c>
      <c r="F47" s="3" t="s">
        <v>16</v>
      </c>
      <c r="G47" s="3" t="s">
        <v>277</v>
      </c>
      <c r="H47" s="3" t="s">
        <v>278</v>
      </c>
      <c r="I47" s="3"/>
      <c r="J47" s="3" t="s">
        <v>279</v>
      </c>
      <c r="K47" s="3" t="s">
        <v>280</v>
      </c>
      <c r="L47" s="3" t="s">
        <v>281</v>
      </c>
      <c r="M47" s="3"/>
    </row>
    <row r="48" spans="1:13" ht="15" customHeight="1" x14ac:dyDescent="0.35">
      <c r="A48" s="3">
        <v>47</v>
      </c>
      <c r="B48" s="3" t="s">
        <v>282</v>
      </c>
      <c r="C48" s="3" t="s">
        <v>283</v>
      </c>
      <c r="D48" s="3" t="s">
        <v>257</v>
      </c>
      <c r="E48" s="3">
        <v>4</v>
      </c>
      <c r="F48" s="3" t="s">
        <v>16</v>
      </c>
      <c r="G48" s="3" t="s">
        <v>284</v>
      </c>
      <c r="H48" s="3" t="s">
        <v>44</v>
      </c>
      <c r="I48" s="3"/>
      <c r="J48" s="3" t="s">
        <v>89</v>
      </c>
      <c r="K48" s="3"/>
      <c r="L48" s="3" t="s">
        <v>285</v>
      </c>
      <c r="M48" s="3"/>
    </row>
    <row r="49" spans="1:13" ht="15" customHeight="1" x14ac:dyDescent="0.35">
      <c r="A49" s="3">
        <v>48</v>
      </c>
      <c r="B49" s="3" t="s">
        <v>286</v>
      </c>
      <c r="C49" s="3" t="s">
        <v>287</v>
      </c>
      <c r="D49" s="3" t="s">
        <v>257</v>
      </c>
      <c r="E49" s="3">
        <v>4</v>
      </c>
      <c r="F49" s="3" t="s">
        <v>16</v>
      </c>
      <c r="G49" s="3" t="s">
        <v>288</v>
      </c>
      <c r="H49" s="3" t="s">
        <v>44</v>
      </c>
      <c r="I49" s="3"/>
      <c r="J49" s="3" t="s">
        <v>89</v>
      </c>
      <c r="K49" s="3"/>
      <c r="L49" s="3" t="s">
        <v>289</v>
      </c>
      <c r="M49" s="3"/>
    </row>
    <row r="50" spans="1:13" ht="26.25" customHeight="1" x14ac:dyDescent="0.35">
      <c r="A50" s="3">
        <v>49</v>
      </c>
      <c r="B50" s="3" t="s">
        <v>290</v>
      </c>
      <c r="C50" s="3" t="s">
        <v>291</v>
      </c>
      <c r="D50" s="3" t="s">
        <v>257</v>
      </c>
      <c r="E50" s="3">
        <v>4</v>
      </c>
      <c r="F50" s="3" t="s">
        <v>16</v>
      </c>
      <c r="G50" s="3" t="s">
        <v>292</v>
      </c>
      <c r="H50" s="3" t="s">
        <v>18</v>
      </c>
      <c r="I50" s="3"/>
      <c r="J50" s="3" t="s">
        <v>293</v>
      </c>
      <c r="K50" s="3" t="s">
        <v>294</v>
      </c>
      <c r="L50" s="3" t="s">
        <v>295</v>
      </c>
      <c r="M50" s="3"/>
    </row>
    <row r="51" spans="1:13" ht="26.25" customHeight="1" x14ac:dyDescent="0.35">
      <c r="A51" s="3">
        <v>50</v>
      </c>
      <c r="B51" s="3" t="s">
        <v>296</v>
      </c>
      <c r="C51" s="3" t="s">
        <v>297</v>
      </c>
      <c r="D51" s="3" t="s">
        <v>257</v>
      </c>
      <c r="E51" s="3">
        <v>4</v>
      </c>
      <c r="F51" s="3" t="s">
        <v>16</v>
      </c>
      <c r="G51" s="3" t="s">
        <v>298</v>
      </c>
      <c r="H51" s="3" t="s">
        <v>44</v>
      </c>
      <c r="I51" s="3"/>
      <c r="J51" s="3" t="s">
        <v>89</v>
      </c>
      <c r="K51" s="3"/>
      <c r="L51" s="3" t="s">
        <v>90</v>
      </c>
      <c r="M51" s="3"/>
    </row>
    <row r="52" spans="1:13" ht="15" customHeight="1" x14ac:dyDescent="0.35">
      <c r="A52" s="3">
        <v>51</v>
      </c>
      <c r="B52" s="3" t="s">
        <v>299</v>
      </c>
      <c r="C52" s="3" t="s">
        <v>300</v>
      </c>
      <c r="D52" s="3" t="s">
        <v>257</v>
      </c>
      <c r="E52" s="3">
        <v>4</v>
      </c>
      <c r="F52" s="3" t="s">
        <v>16</v>
      </c>
      <c r="G52" s="3" t="s">
        <v>301</v>
      </c>
      <c r="H52" s="3" t="s">
        <v>44</v>
      </c>
      <c r="I52" s="3"/>
      <c r="J52" s="3" t="s">
        <v>89</v>
      </c>
      <c r="K52" s="3"/>
      <c r="L52" s="3" t="s">
        <v>90</v>
      </c>
      <c r="M52" s="3"/>
    </row>
    <row r="53" spans="1:13" ht="15" customHeight="1" x14ac:dyDescent="0.35">
      <c r="A53" s="3">
        <v>52</v>
      </c>
      <c r="B53" s="3" t="s">
        <v>302</v>
      </c>
      <c r="C53" s="3" t="s">
        <v>303</v>
      </c>
      <c r="D53" s="3" t="s">
        <v>257</v>
      </c>
      <c r="E53" s="3">
        <v>4</v>
      </c>
      <c r="F53" s="3" t="s">
        <v>16</v>
      </c>
      <c r="G53" s="3" t="s">
        <v>264</v>
      </c>
      <c r="H53" s="3" t="s">
        <v>44</v>
      </c>
      <c r="I53" s="3"/>
      <c r="J53" s="3" t="s">
        <v>89</v>
      </c>
      <c r="K53" s="3"/>
      <c r="L53" s="3" t="s">
        <v>90</v>
      </c>
      <c r="M53" s="3"/>
    </row>
    <row r="55" spans="1:13" ht="15" customHeight="1" x14ac:dyDescent="0.35">
      <c r="C55" s="5" t="s">
        <v>79</v>
      </c>
      <c r="F55" s="5">
        <f>COUNTIF(F2:F53,"PASS – quantified")</f>
        <v>7</v>
      </c>
    </row>
    <row r="56" spans="1:13" ht="15" customHeight="1" x14ac:dyDescent="0.35">
      <c r="C56" s="5" t="s">
        <v>62</v>
      </c>
      <c r="F56" s="5">
        <f>COUNTIF(F2:F53,"PASS – estimate needed")</f>
        <v>5</v>
      </c>
    </row>
    <row r="57" spans="1:13" ht="15" customHeight="1" x14ac:dyDescent="0.35">
      <c r="C57" s="5" t="s">
        <v>16</v>
      </c>
      <c r="F57" s="5">
        <f>COUNTIF(F2:F53,"FAIL (for now)")</f>
        <v>40</v>
      </c>
    </row>
    <row r="58" spans="1:13" ht="15" customHeight="1" x14ac:dyDescent="0.35">
      <c r="C58" s="5" t="s">
        <v>304</v>
      </c>
      <c r="F58" s="5">
        <f>COUNTIF(F2:F53,"PENDING")</f>
        <v>0</v>
      </c>
    </row>
  </sheetData>
  <autoFilter ref="A1:M53" xr:uid="{00000000-0009-0000-0000-000000000000}"/>
  <conditionalFormatting sqref="F2:F53">
    <cfRule type="expression" dxfId="2" priority="2">
      <formula>LEFT(F2,15)="PASS – quantif"</formula>
    </cfRule>
    <cfRule type="expression" dxfId="1" priority="3">
      <formula>ISNUMBER(SEARCH("estimate",F2))</formula>
    </cfRule>
    <cfRule type="expression" dxfId="0" priority="4">
      <formula>LEFT(F2,4)="FAIL"</formula>
    </cfRule>
  </conditionalFormatting>
  <dataValidations count="1">
    <dataValidation type="list" sqref="F2:F53" xr:uid="{00000000-0002-0000-0000-000000000000}">
      <formula1>"PASS – quantified,PASS – estimate needed,FAIL (for now),PENDING"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4 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Harsha Patyal</cp:lastModifiedBy>
  <cp:revision>0</cp:revision>
  <dcterms:created xsi:type="dcterms:W3CDTF">2026-10-12T13:18:57Z</dcterms:created>
  <dcterms:modified xsi:type="dcterms:W3CDTF">2026-10-14T10:24:27Z</dcterms:modified>
  <dc:language>en-US</dc:language>
</cp:coreProperties>
</file>